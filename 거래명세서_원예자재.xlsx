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21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'Sheet1'!$A$1:$I$34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 &quot;General&quot; &quot;"/>
    <numFmt numFmtId="165" formatCode="_-* #,##0_-;\-* #,##0_-;_-* &quot;-&quot;_-;_-@_-"/>
    <numFmt numFmtId="166" formatCode="mm&quot;월&quot;\ dd&quot;일&quot;"/>
    <numFmt numFmtId="167" formatCode="&quot;₩&quot;#,##0_);[Red]\(&quot;₩&quot;#,##0\)"/>
  </numFmts>
  <fonts count="1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1"/>
      <scheme val="minor"/>
    </font>
    <font>
      <name val="돋움"/>
      <charset val="129"/>
      <family val="3"/>
      <b val="1"/>
      <sz val="18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NanumGothic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45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/>
    </xf>
    <xf numFmtId="164" fontId="4" fillId="3" borderId="4" applyAlignment="1" pivotButton="0" quotePrefix="0" xfId="0">
      <alignment horizontal="center" vertical="center"/>
    </xf>
    <xf numFmtId="165" fontId="4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165" fontId="4" fillId="3" borderId="4" applyAlignment="1" pivotButton="0" quotePrefix="0" xfId="1">
      <alignment horizontal="center" vertical="center"/>
    </xf>
    <xf numFmtId="165" fontId="4" fillId="3" borderId="1" applyAlignment="1" pivotButton="0" quotePrefix="0" xfId="1">
      <alignment horizontal="center" vertical="center"/>
    </xf>
    <xf numFmtId="0" fontId="10" fillId="0" borderId="0" applyAlignment="1" pivotButton="0" quotePrefix="0" xfId="0">
      <alignment vertical="center"/>
    </xf>
    <xf numFmtId="165" fontId="7" fillId="2" borderId="21" applyAlignment="1" pivotButton="0" quotePrefix="0" xfId="1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1">
      <alignment vertical="center" shrinkToFit="1"/>
    </xf>
    <xf numFmtId="0" fontId="5" fillId="3" borderId="26" applyAlignment="1" pivotButton="0" quotePrefix="0" xfId="0">
      <alignment horizontal="center" vertical="center" shrinkToFit="1"/>
    </xf>
    <xf numFmtId="0" fontId="5" fillId="3" borderId="29" applyAlignment="1" pivotButton="0" quotePrefix="0" xfId="0">
      <alignment horizontal="center" vertical="center" shrinkToFit="1"/>
    </xf>
    <xf numFmtId="165" fontId="5" fillId="3" borderId="29" applyAlignment="1" pivotButton="0" quotePrefix="0" xfId="1">
      <alignment horizontal="center" vertical="center" shrinkToFit="1"/>
    </xf>
    <xf numFmtId="0" fontId="5" fillId="3" borderId="30" applyAlignment="1" pivotButton="0" quotePrefix="0" xfId="0">
      <alignment horizontal="center" vertical="center" shrinkToFit="1"/>
    </xf>
    <xf numFmtId="0" fontId="6" fillId="0" borderId="31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vertical="top"/>
    </xf>
    <xf numFmtId="0" fontId="11" fillId="0" borderId="15" applyAlignment="1" pivotButton="0" quotePrefix="0" xfId="0">
      <alignment vertical="top"/>
    </xf>
    <xf numFmtId="0" fontId="11" fillId="0" borderId="15" applyAlignment="1" pivotButton="0" quotePrefix="0" xfId="0">
      <alignment horizontal="left" vertical="top" wrapText="1"/>
    </xf>
    <xf numFmtId="0" fontId="13" fillId="0" borderId="0" applyAlignment="1" pivotButton="0" quotePrefix="0" xfId="0">
      <alignment vertical="center"/>
    </xf>
    <xf numFmtId="165" fontId="6" fillId="0" borderId="6" applyAlignment="1" pivotButton="0" quotePrefix="0" xfId="1">
      <alignment horizontal="center" vertical="center" shrinkToFit="1"/>
    </xf>
    <xf numFmtId="165" fontId="6" fillId="2" borderId="5" applyAlignment="1" pivotButton="0" quotePrefix="0" xfId="1">
      <alignment horizontal="center" vertical="center" shrinkToFit="1"/>
    </xf>
    <xf numFmtId="0" fontId="6" fillId="0" borderId="32" applyAlignment="1" pivotButton="0" quotePrefix="0" xfId="0">
      <alignment horizontal="center" vertical="center" shrinkToFit="1"/>
    </xf>
    <xf numFmtId="0" fontId="6" fillId="0" borderId="6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 shrinkToFit="1"/>
    </xf>
    <xf numFmtId="165" fontId="6" fillId="0" borderId="7" applyAlignment="1" pivotButton="0" quotePrefix="0" xfId="1">
      <alignment horizontal="center" vertical="center" shrinkToFit="1"/>
    </xf>
    <xf numFmtId="165" fontId="6" fillId="0" borderId="41" applyAlignment="1" pivotButton="0" quotePrefix="0" xfId="1">
      <alignment horizontal="center" vertical="center" shrinkToFit="1"/>
    </xf>
    <xf numFmtId="0" fontId="6" fillId="0" borderId="42" applyAlignment="1" pivotButton="0" quotePrefix="0" xfId="0">
      <alignment horizontal="center" vertical="center" shrinkToFit="1"/>
    </xf>
    <xf numFmtId="165" fontId="7" fillId="2" borderId="20" applyAlignment="1" pivotButton="0" quotePrefix="0" xfId="1">
      <alignment horizontal="center" vertical="center" shrinkToFit="1"/>
    </xf>
    <xf numFmtId="165" fontId="8" fillId="0" borderId="34" applyAlignment="1" pivotButton="0" quotePrefix="0" xfId="1">
      <alignment horizontal="center" vertical="center"/>
    </xf>
    <xf numFmtId="165" fontId="8" fillId="0" borderId="36" applyAlignment="1" pivotButton="0" quotePrefix="0" xfId="1">
      <alignment horizontal="center" vertical="center"/>
    </xf>
    <xf numFmtId="165" fontId="5" fillId="2" borderId="21" applyAlignment="1" pivotButton="0" quotePrefix="0" xfId="1">
      <alignment horizontal="center" vertical="center" shrinkToFit="1"/>
    </xf>
    <xf numFmtId="165" fontId="5" fillId="2" borderId="36" applyAlignment="1" pivotButton="0" quotePrefix="0" xfId="1">
      <alignment horizontal="center" vertical="center" shrinkToFit="1"/>
    </xf>
    <xf numFmtId="165" fontId="7" fillId="3" borderId="22" applyAlignment="1" pivotButton="0" quotePrefix="0" xfId="1">
      <alignment horizontal="center" vertical="center" shrinkToFit="1"/>
    </xf>
    <xf numFmtId="165" fontId="7" fillId="3" borderId="38" applyAlignment="1" pivotButton="0" quotePrefix="0" xfId="1">
      <alignment horizontal="center" vertical="center" shrinkToFit="1"/>
    </xf>
    <xf numFmtId="166" fontId="6" fillId="0" borderId="6" applyAlignment="1" pivotButton="0" quotePrefix="0" xfId="0">
      <alignment horizontal="center" vertical="center" shrinkToFit="1"/>
    </xf>
    <xf numFmtId="0" fontId="6" fillId="0" borderId="45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 shrinkToFit="1"/>
    </xf>
    <xf numFmtId="0" fontId="5" fillId="3" borderId="28" applyAlignment="1" pivotButton="0" quotePrefix="0" xfId="0">
      <alignment horizontal="center" vertical="center" shrinkToFit="1"/>
    </xf>
    <xf numFmtId="164" fontId="4" fillId="3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7" fillId="0" borderId="1" applyAlignment="1" pivotButton="0" quotePrefix="0" xfId="1">
      <alignment horizontal="center" vertical="center"/>
    </xf>
    <xf numFmtId="167" fontId="7" fillId="0" borderId="3" applyAlignment="1" pivotButton="0" quotePrefix="0" xfId="1">
      <alignment horizontal="center" vertical="center"/>
    </xf>
    <xf numFmtId="167" fontId="7" fillId="0" borderId="2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14" fontId="4" fillId="0" borderId="3" applyAlignment="1" pivotButton="0" quotePrefix="0" xfId="0">
      <alignment horizontal="center" vertical="center"/>
    </xf>
    <xf numFmtId="14" fontId="4" fillId="0" borderId="2" applyAlignment="1" pivotButton="0" quotePrefix="0" xfId="0">
      <alignment horizontal="center" vertical="center"/>
    </xf>
    <xf numFmtId="0" fontId="7" fillId="3" borderId="37" applyAlignment="1" pivotButton="0" quotePrefix="0" xfId="0">
      <alignment horizontal="center" vertical="center" shrinkToFit="1"/>
    </xf>
    <xf numFmtId="0" fontId="7" fillId="3" borderId="18" applyAlignment="1" pivotButton="0" quotePrefix="0" xfId="0">
      <alignment horizontal="center" vertical="center" shrinkToFit="1"/>
    </xf>
    <xf numFmtId="0" fontId="7" fillId="3" borderId="19" applyAlignment="1" pivotButton="0" quotePrefix="0" xfId="0">
      <alignment horizontal="center" vertical="center" shrinkToFit="1"/>
    </xf>
    <xf numFmtId="0" fontId="5" fillId="0" borderId="35" applyAlignment="1" pivotButton="0" quotePrefix="0" xfId="0">
      <alignment horizontal="center" vertical="center" shrinkToFit="1"/>
    </xf>
    <xf numFmtId="0" fontId="5" fillId="0" borderId="3" applyAlignment="1" pivotButton="0" quotePrefix="0" xfId="0">
      <alignment horizontal="center" vertical="center" shrinkToFit="1"/>
    </xf>
    <xf numFmtId="0" fontId="5" fillId="0" borderId="2" applyAlignment="1" pivotButton="0" quotePrefix="0" xfId="0">
      <alignment horizontal="center" vertical="center" shrinkToFit="1"/>
    </xf>
    <xf numFmtId="0" fontId="7" fillId="0" borderId="35" applyAlignment="1" pivotButton="0" quotePrefix="0" xfId="0">
      <alignment horizontal="center" vertical="center" shrinkToFit="1"/>
    </xf>
    <xf numFmtId="0" fontId="7" fillId="0" borderId="3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7" fillId="0" borderId="33" applyAlignment="1" pivotButton="0" quotePrefix="0" xfId="0">
      <alignment horizontal="center" vertical="center" shrinkToFit="1"/>
    </xf>
    <xf numFmtId="0" fontId="7" fillId="0" borderId="8" applyAlignment="1" pivotButton="0" quotePrefix="0" xfId="0">
      <alignment horizontal="center" vertical="center" shrinkToFit="1"/>
    </xf>
    <xf numFmtId="0" fontId="7" fillId="0" borderId="9" applyAlignment="1" pivotButton="0" quotePrefix="0" xfId="0">
      <alignment horizontal="center" vertical="center" shrinkToFit="1"/>
    </xf>
    <xf numFmtId="0" fontId="6" fillId="0" borderId="3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15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15" applyAlignment="1" pivotButton="0" quotePrefix="0" xfId="0">
      <alignment horizontal="left" vertical="center"/>
    </xf>
    <xf numFmtId="0" fontId="6" fillId="0" borderId="16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0" fontId="6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1">
      <alignment vertical="center"/>
    </xf>
    <xf numFmtId="164" fontId="4" fillId="3" borderId="64" applyAlignment="1" pivotButton="0" quotePrefix="0" xfId="0">
      <alignment horizontal="center" vertical="center"/>
    </xf>
    <xf numFmtId="0" fontId="0" fillId="0" borderId="60" pivotButton="0" quotePrefix="0" xfId="0"/>
    <xf numFmtId="0" fontId="4" fillId="0" borderId="64" applyAlignment="1" pivotButton="0" quotePrefix="0" xfId="0">
      <alignment horizontal="center" vertical="center"/>
    </xf>
    <xf numFmtId="0" fontId="0" fillId="0" borderId="59" pivotButton="0" quotePrefix="0" xfId="0"/>
    <xf numFmtId="165" fontId="4" fillId="3" borderId="4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14" fontId="4" fillId="0" borderId="64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167" fontId="7" fillId="0" borderId="64" applyAlignment="1" pivotButton="0" quotePrefix="0" xfId="1">
      <alignment horizontal="center" vertical="center"/>
    </xf>
    <xf numFmtId="165" fontId="4" fillId="3" borderId="1" applyAlignment="1" pivotButton="0" quotePrefix="0" xfId="1">
      <alignment horizontal="center" vertical="center"/>
    </xf>
    <xf numFmtId="165" fontId="4" fillId="0" borderId="0" applyAlignment="1" pivotButton="0" quotePrefix="0" xfId="1">
      <alignment vertical="center"/>
    </xf>
    <xf numFmtId="0" fontId="0" fillId="0" borderId="28" pivotButton="0" quotePrefix="0" xfId="0"/>
    <xf numFmtId="165" fontId="5" fillId="3" borderId="29" applyAlignment="1" pivotButton="0" quotePrefix="0" xfId="1">
      <alignment horizontal="center" vertical="center" shrinkToFit="1"/>
    </xf>
    <xf numFmtId="0" fontId="6" fillId="0" borderId="50" applyAlignment="1" pivotButton="0" quotePrefix="0" xfId="0">
      <alignment horizontal="center" vertical="center"/>
    </xf>
    <xf numFmtId="0" fontId="0" fillId="0" borderId="46" pivotButton="0" quotePrefix="0" xfId="0"/>
    <xf numFmtId="166" fontId="6" fillId="0" borderId="6" applyAlignment="1" pivotButton="0" quotePrefix="0" xfId="0">
      <alignment horizontal="center" vertical="center" shrinkToFit="1"/>
    </xf>
    <xf numFmtId="165" fontId="6" fillId="0" borderId="6" applyAlignment="1" pivotButton="0" quotePrefix="0" xfId="1">
      <alignment horizontal="center" vertical="center" shrinkToFit="1"/>
    </xf>
    <xf numFmtId="165" fontId="6" fillId="2" borderId="5" applyAlignment="1" pivotButton="0" quotePrefix="0" xfId="1">
      <alignment horizontal="center" vertical="center" shrinkToFit="1"/>
    </xf>
    <xf numFmtId="0" fontId="6" fillId="0" borderId="5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44" pivotButton="0" quotePrefix="0" xfId="0"/>
    <xf numFmtId="0" fontId="6" fillId="0" borderId="41" applyAlignment="1" pivotButton="0" quotePrefix="0" xfId="0">
      <alignment horizontal="center" vertical="center"/>
    </xf>
    <xf numFmtId="0" fontId="0" fillId="0" borderId="40" pivotButton="0" quotePrefix="0" xfId="0"/>
    <xf numFmtId="165" fontId="6" fillId="0" borderId="7" applyAlignment="1" pivotButton="0" quotePrefix="0" xfId="1">
      <alignment horizontal="center" vertical="center" shrinkToFit="1"/>
    </xf>
    <xf numFmtId="165" fontId="6" fillId="0" borderId="41" applyAlignment="1" pivotButton="0" quotePrefix="0" xfId="1">
      <alignment horizontal="center" vertical="center" shrinkToFit="1"/>
    </xf>
    <xf numFmtId="0" fontId="7" fillId="0" borderId="61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165" fontId="7" fillId="2" borderId="20" applyAlignment="1" pivotButton="0" quotePrefix="0" xfId="1">
      <alignment horizontal="center" vertical="center" shrinkToFit="1"/>
    </xf>
    <xf numFmtId="165" fontId="8" fillId="0" borderId="34" applyAlignment="1" pivotButton="0" quotePrefix="0" xfId="1">
      <alignment horizontal="center" vertical="center"/>
    </xf>
    <xf numFmtId="0" fontId="7" fillId="0" borderId="57" applyAlignment="1" pivotButton="0" quotePrefix="0" xfId="0">
      <alignment horizontal="center" vertical="center" shrinkToFit="1"/>
    </xf>
    <xf numFmtId="165" fontId="7" fillId="2" borderId="21" applyAlignment="1" pivotButton="0" quotePrefix="0" xfId="1">
      <alignment horizontal="center" vertical="center" shrinkToFit="1"/>
    </xf>
    <xf numFmtId="165" fontId="8" fillId="0" borderId="36" applyAlignment="1" pivotButton="0" quotePrefix="0" xfId="1">
      <alignment horizontal="center" vertical="center"/>
    </xf>
    <xf numFmtId="0" fontId="5" fillId="0" borderId="57" applyAlignment="1" pivotButton="0" quotePrefix="0" xfId="0">
      <alignment horizontal="center" vertical="center" shrinkToFit="1"/>
    </xf>
    <xf numFmtId="165" fontId="5" fillId="2" borderId="21" applyAlignment="1" pivotButton="0" quotePrefix="0" xfId="1">
      <alignment horizontal="center" vertical="center" shrinkToFit="1"/>
    </xf>
    <xf numFmtId="165" fontId="5" fillId="2" borderId="36" applyAlignment="1" pivotButton="0" quotePrefix="0" xfId="1">
      <alignment horizontal="center" vertical="center" shrinkToFit="1"/>
    </xf>
    <xf numFmtId="0" fontId="7" fillId="3" borderId="55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19" pivotButton="0" quotePrefix="0" xfId="0"/>
    <xf numFmtId="165" fontId="7" fillId="3" borderId="22" applyAlignment="1" pivotButton="0" quotePrefix="0" xfId="1">
      <alignment horizontal="center" vertical="center" shrinkToFit="1"/>
    </xf>
    <xf numFmtId="165" fontId="7" fillId="3" borderId="38" applyAlignment="1" pivotButton="0" quotePrefix="0" xfId="1">
      <alignment horizontal="center" vertical="center" shrinkToFit="1"/>
    </xf>
    <xf numFmtId="165" fontId="7" fillId="0" borderId="0" applyAlignment="1" pivotButton="0" quotePrefix="0" xfId="1">
      <alignment vertical="center" shrinkToFit="1"/>
    </xf>
    <xf numFmtId="0" fontId="11" fillId="0" borderId="5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4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tabSelected="1" zoomScale="70" zoomScaleNormal="70" workbookViewId="0">
      <selection activeCell="AB23" sqref="AB23"/>
    </sheetView>
  </sheetViews>
  <sheetFormatPr baseColWidth="8" defaultRowHeight="17.4"/>
  <cols>
    <col width="5.8984375" customWidth="1" style="89" min="1" max="1"/>
    <col width="10.8984375" customWidth="1" style="89" min="2" max="2"/>
    <col width="16.3984375" customWidth="1" style="89" min="3" max="3"/>
    <col width="10.59765625" customWidth="1" style="89" min="4" max="5"/>
    <col width="10.59765625" customWidth="1" style="90" min="6" max="8"/>
    <col width="10.59765625" customWidth="1" style="89" min="9" max="9"/>
  </cols>
  <sheetData>
    <row r="1" ht="60.75" customHeight="1" s="89">
      <c r="A1" s="57" t="inlineStr">
        <is>
          <t>거래명세서</t>
        </is>
      </c>
    </row>
    <row r="2" ht="21" customHeight="1" s="89">
      <c r="A2" s="91" t="inlineStr">
        <is>
          <t>상호</t>
        </is>
      </c>
      <c r="B2" s="92" t="n"/>
      <c r="C2" s="93" t="n"/>
      <c r="D2" s="94" t="n"/>
      <c r="E2" s="92" t="n"/>
      <c r="F2" s="95" t="inlineStr">
        <is>
          <t>사업자번호</t>
        </is>
      </c>
      <c r="G2" s="58" t="n"/>
      <c r="H2" s="96" t="n"/>
      <c r="I2" s="97" t="n"/>
    </row>
    <row r="3" ht="21" customHeight="1" s="89">
      <c r="A3" s="91" t="inlineStr">
        <is>
          <t>작성일자</t>
        </is>
      </c>
      <c r="B3" s="92" t="n"/>
      <c r="C3" s="98">
        <f>TODAY()</f>
        <v/>
      </c>
      <c r="D3" s="94" t="n"/>
      <c r="E3" s="92" t="n"/>
      <c r="F3" s="95" t="inlineStr">
        <is>
          <t>대표자</t>
        </is>
      </c>
      <c r="G3" s="58" t="n"/>
      <c r="H3" s="96" t="n"/>
      <c r="I3" s="97" t="n"/>
    </row>
    <row r="4" ht="21" customHeight="1" s="89">
      <c r="A4" s="91" t="inlineStr">
        <is>
          <t>업태</t>
        </is>
      </c>
      <c r="B4" s="92" t="n"/>
      <c r="C4" s="54" t="n"/>
      <c r="D4" s="99" t="inlineStr">
        <is>
          <t>종목</t>
        </is>
      </c>
      <c r="E4" s="56" t="n"/>
      <c r="F4" s="95" t="inlineStr">
        <is>
          <t>소재지</t>
        </is>
      </c>
      <c r="G4" s="50" t="n"/>
      <c r="H4" s="100" t="n"/>
      <c r="I4" s="101" t="n"/>
    </row>
    <row r="5" ht="21" customHeight="1" s="89">
      <c r="A5" s="91" t="inlineStr">
        <is>
          <t>합계금액</t>
        </is>
      </c>
      <c r="B5" s="92" t="n"/>
      <c r="C5" s="102">
        <f>H25</f>
        <v/>
      </c>
      <c r="D5" s="94" t="n"/>
      <c r="E5" s="92" t="n"/>
      <c r="F5" s="103" t="inlineStr">
        <is>
          <t>TEL</t>
        </is>
      </c>
      <c r="G5" s="93" t="n"/>
      <c r="H5" s="94" t="n"/>
      <c r="I5" s="92" t="n"/>
    </row>
    <row r="6" ht="21" customHeight="1" s="89" thickBot="1">
      <c r="A6" s="4" t="n"/>
      <c r="B6" s="4" t="n"/>
      <c r="C6" s="4" t="n"/>
      <c r="D6" s="4" t="n"/>
      <c r="E6" s="4" t="n"/>
      <c r="F6" s="104" t="n"/>
      <c r="G6" s="104" t="n"/>
      <c r="H6" s="104" t="n"/>
      <c r="I6" s="4" t="n"/>
      <c r="M6" s="25" t="n"/>
    </row>
    <row r="7" ht="21" customHeight="1" s="89">
      <c r="A7" s="15" t="inlineStr">
        <is>
          <t>순번</t>
        </is>
      </c>
      <c r="B7" s="16" t="inlineStr">
        <is>
          <t>품목</t>
        </is>
      </c>
      <c r="C7" s="105" t="n"/>
      <c r="D7" s="16" t="inlineStr">
        <is>
          <t>옵션</t>
        </is>
      </c>
      <c r="E7" s="16" t="inlineStr">
        <is>
          <t>단위</t>
        </is>
      </c>
      <c r="F7" s="106" t="inlineStr">
        <is>
          <t>수량</t>
        </is>
      </c>
      <c r="G7" s="106" t="inlineStr">
        <is>
          <t>단가</t>
        </is>
      </c>
      <c r="H7" s="106" t="inlineStr">
        <is>
          <t>금액</t>
        </is>
      </c>
      <c r="I7" s="18" t="inlineStr">
        <is>
          <t>비고</t>
        </is>
      </c>
      <c r="M7" s="25" t="n"/>
    </row>
    <row r="8" ht="21" customHeight="1" s="89">
      <c r="A8" s="19" t="n">
        <v>1</v>
      </c>
      <c r="B8" s="107" t="inlineStr">
        <is>
          <t>적옥토</t>
        </is>
      </c>
      <c r="C8" s="108" t="n"/>
      <c r="D8" s="109" t="inlineStr">
        <is>
          <t>중</t>
        </is>
      </c>
      <c r="E8" s="3" t="inlineStr">
        <is>
          <t>개</t>
        </is>
      </c>
      <c r="F8" s="110" t="n">
        <v>3</v>
      </c>
      <c r="G8" s="110" t="n">
        <v>14000</v>
      </c>
      <c r="H8" s="111">
        <f>F8*G8</f>
        <v/>
      </c>
      <c r="I8" s="28" t="n"/>
    </row>
    <row r="9" ht="21" customHeight="1" s="89">
      <c r="A9" s="19" t="n">
        <v>2</v>
      </c>
      <c r="B9" s="107" t="inlineStr">
        <is>
          <t>적옥토</t>
        </is>
      </c>
      <c r="C9" s="108" t="n"/>
      <c r="D9" s="109" t="inlineStr">
        <is>
          <t>소</t>
        </is>
      </c>
      <c r="E9" s="3" t="inlineStr">
        <is>
          <t>개</t>
        </is>
      </c>
      <c r="F9" s="110" t="n">
        <v>7</v>
      </c>
      <c r="G9" s="110" t="n">
        <v>14000</v>
      </c>
      <c r="H9" s="111">
        <f>F9*G9</f>
        <v/>
      </c>
      <c r="I9" s="28" t="n"/>
    </row>
    <row r="10" ht="21" customHeight="1" s="89">
      <c r="A10" s="19" t="n">
        <v>3</v>
      </c>
      <c r="B10" s="107" t="inlineStr">
        <is>
          <t>적옥토</t>
        </is>
      </c>
      <c r="C10" s="108" t="n"/>
      <c r="D10" s="109" t="inlineStr">
        <is>
          <t>세립</t>
        </is>
      </c>
      <c r="E10" s="3" t="inlineStr">
        <is>
          <t>개</t>
        </is>
      </c>
      <c r="F10" s="110" t="n">
        <v>3</v>
      </c>
      <c r="G10" s="110" t="n">
        <v>14000</v>
      </c>
      <c r="H10" s="111">
        <f>F10*G10</f>
        <v/>
      </c>
      <c r="I10" s="28" t="n"/>
    </row>
    <row r="11" ht="21" customHeight="1" s="89">
      <c r="A11" s="19" t="n">
        <v>4</v>
      </c>
      <c r="B11" s="112" t="inlineStr">
        <is>
          <t>동생사</t>
        </is>
      </c>
      <c r="C11" s="113" t="n"/>
      <c r="D11" s="109" t="inlineStr">
        <is>
          <t>중</t>
        </is>
      </c>
      <c r="E11" s="3" t="inlineStr">
        <is>
          <t>개</t>
        </is>
      </c>
      <c r="F11" s="110" t="n">
        <v>3</v>
      </c>
      <c r="G11" s="110" t="n">
        <v>13000</v>
      </c>
      <c r="H11" s="111">
        <f>F11*G11</f>
        <v/>
      </c>
      <c r="I11" s="28" t="n"/>
    </row>
    <row r="12" ht="21" customHeight="1" s="89">
      <c r="A12" s="19" t="n">
        <v>5</v>
      </c>
      <c r="B12" s="112" t="inlineStr">
        <is>
          <t>동생사</t>
        </is>
      </c>
      <c r="C12" s="113" t="n"/>
      <c r="D12" s="109" t="inlineStr">
        <is>
          <t>소</t>
        </is>
      </c>
      <c r="E12" s="3" t="inlineStr">
        <is>
          <t>개</t>
        </is>
      </c>
      <c r="F12" s="110" t="n">
        <v>5</v>
      </c>
      <c r="G12" s="110" t="n">
        <v>13000</v>
      </c>
      <c r="H12" s="111">
        <f>F12*G12</f>
        <v/>
      </c>
      <c r="I12" s="28" t="n"/>
    </row>
    <row r="13" ht="21" customHeight="1" s="89">
      <c r="A13" s="19" t="n">
        <v>6</v>
      </c>
      <c r="B13" s="112" t="inlineStr">
        <is>
          <t>동생사</t>
        </is>
      </c>
      <c r="C13" s="113" t="n"/>
      <c r="D13" s="109" t="inlineStr">
        <is>
          <t>세립</t>
        </is>
      </c>
      <c r="E13" s="3" t="inlineStr">
        <is>
          <t>개</t>
        </is>
      </c>
      <c r="F13" s="110" t="n">
        <v>1</v>
      </c>
      <c r="G13" s="110" t="n">
        <v>13000</v>
      </c>
      <c r="H13" s="111">
        <f>F13*G13</f>
        <v/>
      </c>
      <c r="I13" s="28" t="n"/>
    </row>
    <row r="14" ht="21" customHeight="1" s="89">
      <c r="A14" s="19" t="n">
        <v>7</v>
      </c>
      <c r="B14" s="114" t="inlineStr">
        <is>
          <t>휴가토</t>
        </is>
      </c>
      <c r="C14" s="115" t="n"/>
      <c r="D14" s="109" t="inlineStr">
        <is>
          <t>중</t>
        </is>
      </c>
      <c r="E14" s="3" t="inlineStr">
        <is>
          <t>개</t>
        </is>
      </c>
      <c r="F14" s="110" t="n">
        <v>3</v>
      </c>
      <c r="G14" s="110" t="n">
        <v>5000</v>
      </c>
      <c r="H14" s="111">
        <f>F14*G14</f>
        <v/>
      </c>
      <c r="I14" s="28" t="n"/>
    </row>
    <row r="15" ht="21" customHeight="1" s="89">
      <c r="A15" s="19" t="n">
        <v>8</v>
      </c>
      <c r="B15" s="112" t="inlineStr">
        <is>
          <t>녹소토</t>
        </is>
      </c>
      <c r="C15" s="113" t="n"/>
      <c r="D15" s="109" t="inlineStr">
        <is>
          <t>소</t>
        </is>
      </c>
      <c r="E15" s="3" t="inlineStr">
        <is>
          <t>개</t>
        </is>
      </c>
      <c r="F15" s="110" t="n">
        <v>2</v>
      </c>
      <c r="G15" s="110" t="n">
        <v>8000</v>
      </c>
      <c r="H15" s="111">
        <f>F15*G15</f>
        <v/>
      </c>
      <c r="I15" s="28" t="n"/>
    </row>
    <row r="16" ht="21" customHeight="1" s="89">
      <c r="A16" s="19" t="n">
        <v>9</v>
      </c>
      <c r="B16" s="112" t="inlineStr">
        <is>
          <t>마사</t>
        </is>
      </c>
      <c r="C16" s="113" t="n"/>
      <c r="D16" s="29" t="inlineStr">
        <is>
          <t>중</t>
        </is>
      </c>
      <c r="E16" s="3" t="inlineStr">
        <is>
          <t>개</t>
        </is>
      </c>
      <c r="F16" s="110" t="n">
        <v>2</v>
      </c>
      <c r="G16" s="110" t="n">
        <v>7000</v>
      </c>
      <c r="H16" s="111">
        <f>F16*G16</f>
        <v/>
      </c>
      <c r="I16" s="28" t="n"/>
    </row>
    <row r="17" ht="21" customHeight="1" s="89">
      <c r="A17" s="19" t="n">
        <v>10</v>
      </c>
      <c r="B17" s="112" t="inlineStr">
        <is>
          <t>마사</t>
        </is>
      </c>
      <c r="C17" s="113" t="n"/>
      <c r="D17" s="29" t="inlineStr">
        <is>
          <t>소</t>
        </is>
      </c>
      <c r="E17" s="3" t="inlineStr">
        <is>
          <t>개</t>
        </is>
      </c>
      <c r="F17" s="110" t="n">
        <v>3</v>
      </c>
      <c r="G17" s="110" t="n">
        <v>7000</v>
      </c>
      <c r="H17" s="111">
        <f>F17*G17</f>
        <v/>
      </c>
      <c r="I17" s="28" t="n"/>
    </row>
    <row r="18" ht="21" customHeight="1" s="89">
      <c r="A18" s="19" t="n">
        <v>12</v>
      </c>
      <c r="B18" s="112" t="n"/>
      <c r="C18" s="113" t="n"/>
      <c r="D18" s="29" t="n"/>
      <c r="E18" s="3" t="n"/>
      <c r="F18" s="110" t="n"/>
      <c r="G18" s="110" t="n"/>
      <c r="H18" s="111">
        <f>F18*G18</f>
        <v/>
      </c>
      <c r="I18" s="28" t="n"/>
    </row>
    <row r="19" ht="21" customHeight="1" s="89">
      <c r="A19" s="19" t="n">
        <v>13</v>
      </c>
      <c r="B19" s="112" t="n"/>
      <c r="C19" s="113" t="n"/>
      <c r="D19" s="29" t="n"/>
      <c r="E19" s="3" t="n"/>
      <c r="F19" s="110" t="n"/>
      <c r="G19" s="110" t="n"/>
      <c r="H19" s="111">
        <f>F19*G19</f>
        <v/>
      </c>
      <c r="I19" s="28" t="n"/>
    </row>
    <row r="20" ht="21" customHeight="1" s="89">
      <c r="A20" s="19" t="n">
        <v>14</v>
      </c>
      <c r="B20" s="112" t="n"/>
      <c r="C20" s="113" t="n"/>
      <c r="D20" s="29" t="n"/>
      <c r="E20" s="3" t="n"/>
      <c r="F20" s="110" t="n"/>
      <c r="G20" s="110" t="n"/>
      <c r="H20" s="111">
        <f>F20*G20</f>
        <v/>
      </c>
      <c r="I20" s="28" t="n"/>
    </row>
    <row r="21" ht="21" customHeight="1" s="89" thickBot="1">
      <c r="A21" s="19" t="n">
        <v>15</v>
      </c>
      <c r="B21" s="116" t="n"/>
      <c r="C21" s="117" t="n"/>
      <c r="D21" s="30" t="n"/>
      <c r="E21" s="3" t="n"/>
      <c r="F21" s="118" t="n"/>
      <c r="G21" s="119" t="n"/>
      <c r="H21" s="111">
        <f>F21*G21</f>
        <v/>
      </c>
      <c r="I21" s="33" t="n"/>
    </row>
    <row r="22" ht="21" customHeight="1" s="89" thickTop="1">
      <c r="A22" s="120" t="inlineStr">
        <is>
          <t>공급가액</t>
        </is>
      </c>
      <c r="B22" s="121" t="n"/>
      <c r="C22" s="121" t="n"/>
      <c r="D22" s="121" t="n"/>
      <c r="E22" s="121" t="n"/>
      <c r="F22" s="121" t="n"/>
      <c r="G22" s="122" t="n"/>
      <c r="H22" s="123">
        <f>SUM(H8:H21)</f>
        <v/>
      </c>
      <c r="I22" s="124" t="n"/>
    </row>
    <row r="23" ht="21" customHeight="1" s="89">
      <c r="A23" s="125" t="inlineStr">
        <is>
          <t>부가세</t>
        </is>
      </c>
      <c r="B23" s="94" t="n"/>
      <c r="C23" s="94" t="n"/>
      <c r="D23" s="94" t="n"/>
      <c r="E23" s="94" t="n"/>
      <c r="F23" s="94" t="n"/>
      <c r="G23" s="92" t="n"/>
      <c r="H23" s="126" t="n"/>
      <c r="I23" s="127" t="n"/>
    </row>
    <row r="24" ht="21" customHeight="1" s="89">
      <c r="A24" s="128" t="inlineStr">
        <is>
          <t>선수금</t>
        </is>
      </c>
      <c r="B24" s="94" t="n"/>
      <c r="C24" s="94" t="n"/>
      <c r="D24" s="94" t="n"/>
      <c r="E24" s="94" t="n"/>
      <c r="F24" s="94" t="n"/>
      <c r="G24" s="92" t="n"/>
      <c r="H24" s="129" t="n"/>
      <c r="I24" s="130" t="n"/>
    </row>
    <row r="25" ht="21" customHeight="1" s="89" thickBot="1">
      <c r="A25" s="131" t="inlineStr">
        <is>
          <t>합계금액</t>
        </is>
      </c>
      <c r="B25" s="132" t="n"/>
      <c r="C25" s="132" t="n"/>
      <c r="D25" s="132" t="n"/>
      <c r="E25" s="132" t="n"/>
      <c r="F25" s="132" t="n"/>
      <c r="G25" s="133" t="n"/>
      <c r="H25" s="134">
        <f>H22+H23+H24</f>
        <v/>
      </c>
      <c r="I25" s="135" t="n"/>
    </row>
    <row r="26" ht="21" customHeight="1" s="89" thickBot="1">
      <c r="A26" s="13" t="n"/>
      <c r="B26" s="13" t="n"/>
      <c r="C26" s="13" t="n"/>
      <c r="D26" s="13" t="n"/>
      <c r="E26" s="13" t="n"/>
      <c r="F26" s="13" t="n"/>
      <c r="G26" s="13" t="n"/>
      <c r="H26" s="136" t="n"/>
      <c r="I26" s="136" t="n"/>
    </row>
    <row r="27">
      <c r="A27" s="137" t="inlineStr">
        <is>
          <t>비고</t>
        </is>
      </c>
      <c r="B27" s="82" t="inlineStr">
        <is>
          <t>1. 당사는 간이과세자로 세금계산서 발행이 불가합니다. (현금영수증 발행가능)</t>
        </is>
      </c>
      <c r="C27" s="138" t="n"/>
      <c r="D27" s="138" t="n"/>
      <c r="E27" s="138" t="n"/>
      <c r="F27" s="138" t="n"/>
      <c r="G27" s="138" t="n"/>
      <c r="H27" s="138" t="n"/>
      <c r="I27" s="139" t="n"/>
    </row>
    <row r="28">
      <c r="A28" s="140" t="n"/>
      <c r="B28" s="84" t="inlineStr">
        <is>
          <t>2. 현금영수증은 상품 공급가액만 발급이 가능하며, 퀵배송비의 경우 퀵 배송 기사님께 별도 문의 바랍니다.</t>
        </is>
      </c>
      <c r="I28" s="141" t="n"/>
    </row>
    <row r="29" ht="16.5" customHeight="1" s="89">
      <c r="A29" s="140" t="n"/>
      <c r="B29" s="80" t="inlineStr">
        <is>
          <t>3. 제주(+3,000원) 및 도서산간 지역(+5,000원)은 택배 배송비가 추가 발생합니다.</t>
        </is>
      </c>
      <c r="I29" s="141" t="n"/>
    </row>
    <row r="30">
      <c r="A30" s="140" t="n"/>
      <c r="B30" s="22" t="inlineStr">
        <is>
          <t>4. 배송시 필요한 정확한 수취인 성함/수량/우편번호/주소를 정리해서 전달 부탁드립니다,</t>
        </is>
      </c>
      <c r="C30" s="22" t="n"/>
      <c r="D30" s="22" t="n"/>
      <c r="E30" s="22" t="n"/>
      <c r="F30" s="22" t="n"/>
      <c r="G30" s="22" t="n"/>
      <c r="H30" s="22" t="n"/>
      <c r="I30" s="23" t="n"/>
    </row>
    <row r="31">
      <c r="A31" s="140" t="n"/>
      <c r="B31" s="21" t="inlineStr">
        <is>
          <t>5. 이메일주소 : rhdckrl12@gmail.com</t>
        </is>
      </c>
      <c r="C31" s="20" t="n"/>
      <c r="D31" s="20" t="n"/>
      <c r="E31" s="20" t="n"/>
      <c r="F31" s="20" t="n"/>
      <c r="G31" s="20" t="n"/>
      <c r="H31" s="20" t="n"/>
      <c r="I31" s="24" t="n"/>
    </row>
    <row r="32">
      <c r="A32" s="140" t="n"/>
      <c r="B32" s="84" t="inlineStr">
        <is>
          <t>6. 결제방식 : 현금 입금 / 농협 351-1155-1900-53 권현우(나만의정원)</t>
        </is>
      </c>
      <c r="I32" s="141" t="n"/>
    </row>
    <row r="33">
      <c r="A33" s="140" t="n"/>
      <c r="B33" s="84" t="inlineStr">
        <is>
          <t>7. 납기일 : 별도협의</t>
        </is>
      </c>
      <c r="I33" s="141" t="n"/>
    </row>
    <row r="34" ht="18" customHeight="1" s="89" thickBot="1">
      <c r="A34" s="142" t="n"/>
      <c r="B34" s="86" t="inlineStr">
        <is>
          <t>8. 견적 유효기간 : 1개월</t>
        </is>
      </c>
      <c r="C34" s="143" t="n"/>
      <c r="D34" s="143" t="n"/>
      <c r="E34" s="143" t="n"/>
      <c r="F34" s="143" t="n"/>
      <c r="G34" s="143" t="n"/>
      <c r="H34" s="143" t="n"/>
      <c r="I34" s="144" t="n"/>
    </row>
    <row r="35">
      <c r="F35" s="90" t="n"/>
      <c r="G35" s="90" t="n"/>
      <c r="H35" s="90" t="n"/>
    </row>
    <row r="36">
      <c r="F36" s="90" t="n"/>
      <c r="G36" s="90" t="n"/>
      <c r="H36" s="90" t="n"/>
    </row>
    <row r="37" ht="21" customHeight="1" s="89">
      <c r="A37" s="11" t="n"/>
      <c r="F37" s="90" t="n"/>
      <c r="G37" s="90" t="n"/>
      <c r="H37" s="90" t="n"/>
    </row>
    <row r="38" ht="21" customHeight="1" s="89">
      <c r="B38" s="11" t="n"/>
      <c r="C38" s="11" t="n"/>
      <c r="D38" s="11" t="n"/>
      <c r="E38" s="11" t="n"/>
      <c r="F38" s="11" t="n"/>
      <c r="G38" s="11" t="n"/>
      <c r="H38" s="11" t="n"/>
      <c r="I38" s="11" t="n"/>
    </row>
  </sheetData>
  <mergeCells count="38">
    <mergeCell ref="B16:C16"/>
    <mergeCell ref="B7:C7"/>
    <mergeCell ref="A22:G22"/>
    <mergeCell ref="G3:I3"/>
    <mergeCell ref="B18:C18"/>
    <mergeCell ref="B27:I27"/>
    <mergeCell ref="B12:C12"/>
    <mergeCell ref="C2:E2"/>
    <mergeCell ref="B21:C21"/>
    <mergeCell ref="B11:C11"/>
    <mergeCell ref="G5:I5"/>
    <mergeCell ref="A24:G24"/>
    <mergeCell ref="B14:C14"/>
    <mergeCell ref="G4:I4"/>
    <mergeCell ref="B17:C17"/>
    <mergeCell ref="B8:C8"/>
    <mergeCell ref="A3:B3"/>
    <mergeCell ref="B13:C13"/>
    <mergeCell ref="A2:B2"/>
    <mergeCell ref="B29:I29"/>
    <mergeCell ref="B19:C19"/>
    <mergeCell ref="B34:I34"/>
    <mergeCell ref="B10:C10"/>
    <mergeCell ref="A5:B5"/>
    <mergeCell ref="B28:I28"/>
    <mergeCell ref="C3:E3"/>
    <mergeCell ref="A25:G25"/>
    <mergeCell ref="B9:C9"/>
    <mergeCell ref="A27:A34"/>
    <mergeCell ref="A4:B4"/>
    <mergeCell ref="G2:I2"/>
    <mergeCell ref="B15:C15"/>
    <mergeCell ref="C5:E5"/>
    <mergeCell ref="B33:I33"/>
    <mergeCell ref="B20:C20"/>
    <mergeCell ref="A1:I1"/>
    <mergeCell ref="B32:I32"/>
    <mergeCell ref="A23:G23"/>
  </mergeCells>
  <pageMargins left="0.7" right="0.7" top="0.75" bottom="0.75" header="0.3" footer="0.3"/>
  <pageSetup orientation="portrait" paperSize="9" scale="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KYH</dc:creator>
  <dcterms:created xmlns:dcterms="http://purl.org/dc/terms/" xmlns:xsi="http://www.w3.org/2001/XMLSchema-instance" xsi:type="dcterms:W3CDTF">2016-11-08T13:48:12Z</dcterms:created>
  <dcterms:modified xmlns:dcterms="http://purl.org/dc/terms/" xmlns:xsi="http://www.w3.org/2001/XMLSchema-instance" xsi:type="dcterms:W3CDTF">2026-02-27T04:12:33Z</dcterms:modified>
  <cp:lastModifiedBy>1275</cp:lastModifiedBy>
  <cp:lastPrinted>2026-02-25T05:57:13Z</cp:lastPrinted>
</cp:coreProperties>
</file>