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밀크런 배차 계산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AAAAAA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0" pivotButton="0" quotePrefix="0" xfId="0"/>
    <xf numFmtId="0" fontId="1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4" borderId="1" pivotButton="0" quotePrefix="0" xfId="0"/>
    <xf numFmtId="0" fontId="3" fillId="0" borderId="0" pivotButton="0" quotePrefix="0" xfId="0"/>
    <xf numFmtId="3" fontId="2" fillId="4" borderId="1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1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  <col width="4" customWidth="1" min="8" max="8"/>
    <col width="16" customWidth="1" min="9" max="9"/>
    <col width="10" customWidth="1" min="10" max="10"/>
    <col width="10" customWidth="1" min="11" max="11"/>
    <col width="16" customWidth="1" min="12" max="12"/>
    <col width="16" customWidth="1" min="13" max="13"/>
  </cols>
  <sheetData>
    <row r="2">
      <c r="B2" s="1" t="inlineStr">
        <is>
          <t>🚛 차량 정보</t>
        </is>
      </c>
      <c r="I2" s="1" t="inlineStr">
        <is>
          <t>📦 총 파렛트 수 입력</t>
        </is>
      </c>
    </row>
    <row r="3">
      <c r="B3" s="2" t="inlineStr">
        <is>
          <t>차량톤수</t>
        </is>
      </c>
      <c r="C3" s="2" t="inlineStr">
        <is>
          <t>최소P</t>
        </is>
      </c>
      <c r="D3" s="2" t="inlineStr">
        <is>
          <t>최대P</t>
        </is>
      </c>
      <c r="E3" s="2" t="inlineStr">
        <is>
          <t>VAT별도</t>
        </is>
      </c>
      <c r="F3" s="2" t="inlineStr">
        <is>
          <t>VAT포함</t>
        </is>
      </c>
      <c r="G3" s="2" t="inlineStr">
        <is>
          <t>파렛당단가(포함)</t>
        </is>
      </c>
      <c r="I3" s="3" t="inlineStr">
        <is>
          <t>총 파렛트 수</t>
        </is>
      </c>
      <c r="J3" s="4" t="n">
        <v>0</v>
      </c>
    </row>
    <row r="4">
      <c r="B4" s="5" t="inlineStr">
        <is>
          <t>1톤</t>
        </is>
      </c>
      <c r="C4" s="5" t="n">
        <v>1</v>
      </c>
      <c r="D4" s="5" t="n">
        <v>2</v>
      </c>
      <c r="E4" s="6" t="n">
        <v>80500</v>
      </c>
      <c r="F4" s="6">
        <f>E4*1.1</f>
        <v/>
      </c>
      <c r="G4" s="6">
        <f>F4/D4</f>
        <v/>
      </c>
    </row>
    <row r="5">
      <c r="B5" s="5" t="inlineStr">
        <is>
          <t>2.5톤</t>
        </is>
      </c>
      <c r="C5" s="5" t="n">
        <v>3</v>
      </c>
      <c r="D5" s="5" t="n">
        <v>3</v>
      </c>
      <c r="E5" s="6" t="n">
        <v>94500</v>
      </c>
      <c r="F5" s="6">
        <f>E5*1.1</f>
        <v/>
      </c>
      <c r="G5" s="6">
        <f>F5/D5</f>
        <v/>
      </c>
      <c r="I5" s="1" t="inlineStr">
        <is>
          <t>📊 최적 배차 결과</t>
        </is>
      </c>
    </row>
    <row r="6">
      <c r="B6" s="5" t="inlineStr">
        <is>
          <t>3.5톤</t>
        </is>
      </c>
      <c r="C6" s="5" t="n">
        <v>4</v>
      </c>
      <c r="D6" s="5" t="n">
        <v>4</v>
      </c>
      <c r="E6" s="6" t="n">
        <v>107500</v>
      </c>
      <c r="F6" s="6">
        <f>E6*1.1</f>
        <v/>
      </c>
      <c r="G6" s="6">
        <f>F6/D6</f>
        <v/>
      </c>
      <c r="I6" s="7" t="inlineStr">
        <is>
          <t>차량톤수</t>
        </is>
      </c>
      <c r="J6" s="7" t="inlineStr">
        <is>
          <t>대수</t>
        </is>
      </c>
      <c r="K6" s="7" t="inlineStr">
        <is>
          <t>적재P</t>
        </is>
      </c>
      <c r="L6" s="7" t="inlineStr">
        <is>
          <t>VAT별도</t>
        </is>
      </c>
      <c r="M6" s="7" t="inlineStr">
        <is>
          <t>VAT포함</t>
        </is>
      </c>
    </row>
    <row r="7">
      <c r="B7" s="5" t="inlineStr">
        <is>
          <t>5톤</t>
        </is>
      </c>
      <c r="C7" s="5" t="n">
        <v>5</v>
      </c>
      <c r="D7" s="5" t="n">
        <v>12</v>
      </c>
      <c r="E7" s="6" t="n">
        <v>129500</v>
      </c>
      <c r="F7" s="6">
        <f>E7*1.1</f>
        <v/>
      </c>
      <c r="G7" s="6">
        <f>F7/D7</f>
        <v/>
      </c>
      <c r="I7" s="5" t="inlineStr">
        <is>
          <t>11톤</t>
        </is>
      </c>
      <c r="J7" s="5">
        <f>C13</f>
        <v/>
      </c>
      <c r="K7" s="5">
        <f>J3-E13</f>
        <v/>
      </c>
      <c r="L7" s="6">
        <f>J7*168000</f>
        <v/>
      </c>
      <c r="M7" s="6">
        <f>L7*1.1</f>
        <v/>
      </c>
    </row>
    <row r="8">
      <c r="B8" s="5" t="inlineStr">
        <is>
          <t>8톤</t>
        </is>
      </c>
      <c r="C8" s="5" t="n">
        <v>12</v>
      </c>
      <c r="D8" s="5" t="n">
        <v>14</v>
      </c>
      <c r="E8" s="6" t="n">
        <v>144000</v>
      </c>
      <c r="F8" s="6">
        <f>E8*1.1</f>
        <v/>
      </c>
      <c r="G8" s="6">
        <f>F8/D8</f>
        <v/>
      </c>
      <c r="I8" s="5" t="inlineStr">
        <is>
          <t>8톤</t>
        </is>
      </c>
      <c r="J8" s="5">
        <f>C14</f>
        <v/>
      </c>
      <c r="K8" s="5">
        <f>E13-E14</f>
        <v/>
      </c>
      <c r="L8" s="6">
        <f>J8*144000</f>
        <v/>
      </c>
      <c r="M8" s="6">
        <f>L8*1.1</f>
        <v/>
      </c>
    </row>
    <row r="9">
      <c r="B9" s="5" t="inlineStr">
        <is>
          <t>11톤</t>
        </is>
      </c>
      <c r="C9" s="5" t="n">
        <v>15</v>
      </c>
      <c r="D9" s="5" t="n">
        <v>16</v>
      </c>
      <c r="E9" s="6" t="n">
        <v>168000</v>
      </c>
      <c r="F9" s="6">
        <f>E9*1.1</f>
        <v/>
      </c>
      <c r="G9" s="6">
        <f>F9/D9</f>
        <v/>
      </c>
      <c r="I9" s="5" t="inlineStr">
        <is>
          <t>5톤</t>
        </is>
      </c>
      <c r="J9" s="5">
        <f>C15</f>
        <v/>
      </c>
      <c r="K9" s="5">
        <f>E14-E15</f>
        <v/>
      </c>
      <c r="L9" s="6">
        <f>J9*129500</f>
        <v/>
      </c>
      <c r="M9" s="6">
        <f>L9*1.1</f>
        <v/>
      </c>
    </row>
    <row r="10">
      <c r="I10" s="5" t="inlineStr">
        <is>
          <t>3.5톤</t>
        </is>
      </c>
      <c r="J10" s="5">
        <f>C16</f>
        <v/>
      </c>
      <c r="K10" s="5">
        <f>E15-E16</f>
        <v/>
      </c>
      <c r="L10" s="6">
        <f>J10*107500</f>
        <v/>
      </c>
      <c r="M10" s="6">
        <f>L10*1.1</f>
        <v/>
      </c>
    </row>
    <row r="11">
      <c r="I11" s="5" t="inlineStr">
        <is>
          <t>2.5톤</t>
        </is>
      </c>
      <c r="J11" s="5">
        <f>C17</f>
        <v/>
      </c>
      <c r="K11" s="5">
        <f>E16-E17</f>
        <v/>
      </c>
      <c r="L11" s="6">
        <f>J11*94500</f>
        <v/>
      </c>
      <c r="M11" s="6">
        <f>L11*1.1</f>
        <v/>
      </c>
    </row>
    <row r="12">
      <c r="B12" s="8" t="inlineStr">
        <is>
          <t>⚙️ 계산 과정</t>
        </is>
      </c>
      <c r="I12" s="5" t="inlineStr">
        <is>
          <t>1톤</t>
        </is>
      </c>
      <c r="J12" s="5">
        <f>C18</f>
        <v/>
      </c>
      <c r="K12" s="5">
        <f>E17</f>
        <v/>
      </c>
      <c r="L12" s="6">
        <f>J12*80500</f>
        <v/>
      </c>
      <c r="M12" s="6">
        <f>L12*1.1</f>
        <v/>
      </c>
    </row>
    <row r="13">
      <c r="B13" s="8" t="inlineStr">
        <is>
          <t>11톤 대수</t>
        </is>
      </c>
      <c r="C13" s="8">
        <f>INT(J3/16)+IF(AND(MOD(J3,16)&gt;=15,J3&gt;=15),1,0)</f>
        <v/>
      </c>
      <c r="D13" s="8" t="inlineStr">
        <is>
          <t>남은P</t>
        </is>
      </c>
      <c r="E13" s="8">
        <f>MAX(0,J3-C13*16)</f>
        <v/>
      </c>
      <c r="I13" s="7" t="inlineStr">
        <is>
          <t>합계</t>
        </is>
      </c>
      <c r="J13" s="7">
        <f>SUM(J7:J12)</f>
        <v/>
      </c>
      <c r="K13" s="7">
        <f>SUM(K7:K12)</f>
        <v/>
      </c>
      <c r="L13" s="9">
        <f>SUM(L7:L12)</f>
        <v/>
      </c>
      <c r="M13" s="9">
        <f>SUM(M7:M12)</f>
        <v/>
      </c>
    </row>
    <row r="14">
      <c r="B14" s="8" t="inlineStr">
        <is>
          <t>8톤 대수</t>
        </is>
      </c>
      <c r="C14" s="8">
        <f>IF(E13&gt;=12,INT(E13/14)+IF(MOD(E13,14)&gt;=12,1,0),0)</f>
        <v/>
      </c>
      <c r="D14" s="8" t="inlineStr">
        <is>
          <t>남은P</t>
        </is>
      </c>
      <c r="E14" s="8">
        <f>MAX(0,E13-C14*14)</f>
        <v/>
      </c>
    </row>
    <row r="15">
      <c r="B15" s="8" t="inlineStr">
        <is>
          <t>5톤 대수</t>
        </is>
      </c>
      <c r="C15" s="8">
        <f>IF(E14&gt;=5,1,0)</f>
        <v/>
      </c>
      <c r="D15" s="8" t="inlineStr">
        <is>
          <t>남은P</t>
        </is>
      </c>
      <c r="E15" s="8">
        <f>IF(C15&gt;0,0,E14)</f>
        <v/>
      </c>
      <c r="I15" s="3" t="inlineStr">
        <is>
          <t>파렛당 평균 (VAT별도)</t>
        </is>
      </c>
      <c r="L15" s="10">
        <f>IF(J3&gt;0,L13/J3,0)</f>
        <v/>
      </c>
    </row>
    <row r="16">
      <c r="B16" s="8" t="inlineStr">
        <is>
          <t>3.5톤 대수</t>
        </is>
      </c>
      <c r="C16" s="8">
        <f>IF(E15&gt;=4,1,0)</f>
        <v/>
      </c>
      <c r="D16" s="8" t="inlineStr">
        <is>
          <t>남은P</t>
        </is>
      </c>
      <c r="E16" s="8">
        <f>E15-C16*4</f>
        <v/>
      </c>
      <c r="I16" s="3" t="inlineStr">
        <is>
          <t>파렛당 평균 (VAT포함)</t>
        </is>
      </c>
      <c r="M16" s="10">
        <f>IF(J3&gt;0,M13/J3,0)</f>
        <v/>
      </c>
    </row>
    <row r="17">
      <c r="B17" s="8" t="inlineStr">
        <is>
          <t>2.5톤 대수</t>
        </is>
      </c>
      <c r="C17" s="8">
        <f>IF(E16&gt;=3,1,0)</f>
        <v/>
      </c>
      <c r="D17" s="8" t="inlineStr">
        <is>
          <t>남은P</t>
        </is>
      </c>
      <c r="E17" s="8">
        <f>E16-C17*3</f>
        <v/>
      </c>
    </row>
    <row r="18">
      <c r="B18" s="8" t="inlineStr">
        <is>
          <t>1톤 대수</t>
        </is>
      </c>
      <c r="C18" s="8">
        <f>IF(E17&gt;0,1,0)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2026-05-14T02:11:59Z</dcterms:created>
  <dcterms:modified xmlns:dcterms="http://purl.org/dc/terms/" xmlns:xsi="http://www.w3.org/2001/XMLSchema-instance" xsi:type="dcterms:W3CDTF">2026-05-14T02:11:59Z</dcterms:modified>
</cp:coreProperties>
</file>