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밀크런 배차 계산기" sheetId="1" state="visible" r:id="rId1"/>
    <sheet xmlns:r="http://schemas.openxmlformats.org/officeDocument/2006/relationships" name="계산데이터" sheetId="2" state="hidden" r:id="rId2"/>
    <sheet xmlns:r="http://schemas.openxmlformats.org/officeDocument/2006/relationships" name="상차상세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  <color rgb="00FF0000"/>
      <sz val="16"/>
    </font>
    <font>
      <b val="1"/>
    </font>
    <font>
      <i val="1"/>
      <color rgb="00666666"/>
      <sz val="10"/>
    </font>
    <font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3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0" customWidth="1" min="4" max="4"/>
    <col width="16" customWidth="1" min="5" max="5"/>
    <col width="16" customWidth="1" min="6" max="6"/>
    <col width="16" customWidth="1" min="7" max="7"/>
    <col width="3" customWidth="1" min="8" max="8"/>
    <col width="20" customWidth="1" min="9" max="9"/>
    <col width="10" customWidth="1" min="10" max="10"/>
    <col width="12" customWidth="1" min="11" max="11"/>
    <col width="16" customWidth="1" min="12" max="12"/>
    <col width="16" customWidth="1" min="13" max="13"/>
  </cols>
  <sheetData>
    <row r="2">
      <c r="B2" s="1" t="inlineStr">
        <is>
          <t>🚛 차량 정보 (트럭 통째 대여, VAT별도)</t>
        </is>
      </c>
      <c r="I2" s="1" t="inlineStr">
        <is>
          <t>📦 총 파렛트 수 입력</t>
        </is>
      </c>
    </row>
    <row r="3">
      <c r="B3" s="2" t="inlineStr">
        <is>
          <t>차량톤수</t>
        </is>
      </c>
      <c r="C3" s="2" t="inlineStr">
        <is>
          <t>최소P</t>
        </is>
      </c>
      <c r="D3" s="2" t="inlineStr">
        <is>
          <t>최대P</t>
        </is>
      </c>
      <c r="E3" s="2" t="inlineStr">
        <is>
          <t>VAT별도</t>
        </is>
      </c>
      <c r="F3" s="2" t="inlineStr">
        <is>
          <t>VAT포함</t>
        </is>
      </c>
      <c r="G3" s="2" t="inlineStr">
        <is>
          <t>꽉채울때
파렛당단가</t>
        </is>
      </c>
      <c r="I3" s="3" t="inlineStr">
        <is>
          <t>총 파렛트 수</t>
        </is>
      </c>
      <c r="J3" s="4" t="n">
        <v>79</v>
      </c>
      <c r="K3" s="5" t="n"/>
    </row>
    <row r="4">
      <c r="B4" s="6" t="inlineStr">
        <is>
          <t>1톤</t>
        </is>
      </c>
      <c r="C4" s="6" t="n">
        <v>1</v>
      </c>
      <c r="D4" s="6" t="n">
        <v>2</v>
      </c>
      <c r="E4" s="7" t="n">
        <v>80500</v>
      </c>
      <c r="F4" s="7">
        <f>E4*1.1</f>
        <v/>
      </c>
      <c r="G4" s="7">
        <f>ROUND(F4/D4,0)</f>
        <v/>
      </c>
    </row>
    <row r="5">
      <c r="B5" s="6" t="inlineStr">
        <is>
          <t>2.5톤</t>
        </is>
      </c>
      <c r="C5" s="6" t="n">
        <v>1</v>
      </c>
      <c r="D5" s="6" t="n">
        <v>3</v>
      </c>
      <c r="E5" s="7" t="n">
        <v>94500</v>
      </c>
      <c r="F5" s="7">
        <f>E5*1.1</f>
        <v/>
      </c>
      <c r="G5" s="7">
        <f>ROUND(F5/D5,0)</f>
        <v/>
      </c>
      <c r="I5" s="1" t="inlineStr">
        <is>
          <t>📊 최적 배차 결과</t>
        </is>
      </c>
    </row>
    <row r="6">
      <c r="B6" s="6" t="inlineStr">
        <is>
          <t>3.5톤</t>
        </is>
      </c>
      <c r="C6" s="6" t="n">
        <v>1</v>
      </c>
      <c r="D6" s="6" t="n">
        <v>4</v>
      </c>
      <c r="E6" s="7" t="n">
        <v>107500</v>
      </c>
      <c r="F6" s="7">
        <f>E6*1.1</f>
        <v/>
      </c>
      <c r="G6" s="7">
        <f>ROUND(F6/D6,0)</f>
        <v/>
      </c>
      <c r="I6" s="8" t="inlineStr">
        <is>
          <t>차량톤수</t>
        </is>
      </c>
      <c r="J6" s="8" t="inlineStr">
        <is>
          <t>대수</t>
        </is>
      </c>
      <c r="K6" s="8" t="inlineStr">
        <is>
          <t>실제적재P</t>
        </is>
      </c>
      <c r="L6" s="8" t="inlineStr">
        <is>
          <t>VAT별도</t>
        </is>
      </c>
      <c r="M6" s="8" t="inlineStr">
        <is>
          <t>VAT포함</t>
        </is>
      </c>
    </row>
    <row r="7">
      <c r="B7" s="6" t="inlineStr">
        <is>
          <t>5톤</t>
        </is>
      </c>
      <c r="C7" s="6" t="n">
        <v>1</v>
      </c>
      <c r="D7" s="6" t="n">
        <v>12</v>
      </c>
      <c r="E7" s="7" t="n">
        <v>129500</v>
      </c>
      <c r="F7" s="7">
        <f>E7*1.1</f>
        <v/>
      </c>
      <c r="G7" s="7">
        <f>ROUND(F7/D7,0)</f>
        <v/>
      </c>
      <c r="I7" s="9" t="inlineStr">
        <is>
          <t>11톤</t>
        </is>
      </c>
      <c r="J7" s="9">
        <f>IF(J3&gt;0,VLOOKUP(J3,계산데이터!A:O,7,FALSE),0)</f>
        <v/>
      </c>
      <c r="K7" s="10">
        <f>IF(J3&gt;0,VLOOKUP(J3,계산데이터!A:O,13,FALSE),0)</f>
        <v/>
      </c>
      <c r="L7" s="10">
        <f>J7*168000</f>
        <v/>
      </c>
      <c r="M7" s="10">
        <f>L7*1.1</f>
        <v/>
      </c>
    </row>
    <row r="8">
      <c r="B8" s="6" t="inlineStr">
        <is>
          <t>8톤</t>
        </is>
      </c>
      <c r="C8" s="6" t="n">
        <v>1</v>
      </c>
      <c r="D8" s="6" t="n">
        <v>14</v>
      </c>
      <c r="E8" s="7" t="n">
        <v>144000</v>
      </c>
      <c r="F8" s="7">
        <f>E8*1.1</f>
        <v/>
      </c>
      <c r="G8" s="7">
        <f>ROUND(F8/D8,0)</f>
        <v/>
      </c>
      <c r="I8" s="9" t="inlineStr">
        <is>
          <t>8톤</t>
        </is>
      </c>
      <c r="J8" s="9">
        <f>IF(J3&gt;0,VLOOKUP(J3,계산데이터!A:O,6,FALSE),0)</f>
        <v/>
      </c>
      <c r="K8" s="10">
        <f>IF(J3&gt;0,VLOOKUP(J3,계산데이터!A:O,12,FALSE),0)</f>
        <v/>
      </c>
      <c r="L8" s="10">
        <f>J8*144000</f>
        <v/>
      </c>
      <c r="M8" s="10">
        <f>L8*1.1</f>
        <v/>
      </c>
    </row>
    <row r="9">
      <c r="B9" s="6" t="inlineStr">
        <is>
          <t>11톤</t>
        </is>
      </c>
      <c r="C9" s="6" t="n">
        <v>1</v>
      </c>
      <c r="D9" s="6" t="n">
        <v>16</v>
      </c>
      <c r="E9" s="7" t="n">
        <v>168000</v>
      </c>
      <c r="F9" s="7">
        <f>E9*1.1</f>
        <v/>
      </c>
      <c r="G9" s="7">
        <f>ROUND(F9/D9,0)</f>
        <v/>
      </c>
      <c r="I9" s="9" t="inlineStr">
        <is>
          <t>5톤</t>
        </is>
      </c>
      <c r="J9" s="9">
        <f>IF(J3&gt;0,VLOOKUP(J3,계산데이터!A:O,5,FALSE),0)</f>
        <v/>
      </c>
      <c r="K9" s="10">
        <f>IF(J3&gt;0,VLOOKUP(J3,계산데이터!A:O,11,FALSE),0)</f>
        <v/>
      </c>
      <c r="L9" s="10">
        <f>J9*129500</f>
        <v/>
      </c>
      <c r="M9" s="10">
        <f>L9*1.1</f>
        <v/>
      </c>
    </row>
    <row r="10">
      <c r="I10" s="9" t="inlineStr">
        <is>
          <t>3.5톤</t>
        </is>
      </c>
      <c r="J10" s="9">
        <f>IF(J3&gt;0,VLOOKUP(J3,계산데이터!A:O,4,FALSE),0)</f>
        <v/>
      </c>
      <c r="K10" s="10">
        <f>IF(J3&gt;0,VLOOKUP(J3,계산데이터!A:O,10,FALSE),0)</f>
        <v/>
      </c>
      <c r="L10" s="10">
        <f>J10*107500</f>
        <v/>
      </c>
      <c r="M10" s="10">
        <f>L10*1.1</f>
        <v/>
      </c>
    </row>
    <row r="11">
      <c r="I11" s="9" t="inlineStr">
        <is>
          <t>2.5톤</t>
        </is>
      </c>
      <c r="J11" s="9">
        <f>IF(J3&gt;0,VLOOKUP(J3,계산데이터!A:O,3,FALSE),0)</f>
        <v/>
      </c>
      <c r="K11" s="10">
        <f>IF(J3&gt;0,VLOOKUP(J3,계산데이터!A:O,9,FALSE),0)</f>
        <v/>
      </c>
      <c r="L11" s="10">
        <f>J11*94500</f>
        <v/>
      </c>
      <c r="M11" s="10">
        <f>L11*1.1</f>
        <v/>
      </c>
    </row>
    <row r="12">
      <c r="B12" s="11" t="inlineStr">
        <is>
          <t>💡 사용법: J3 셀(노란칸)에 총 파렛트 수만 입력하면 자동 계산!</t>
        </is>
      </c>
      <c r="I12" s="9" t="inlineStr">
        <is>
          <t>1톤</t>
        </is>
      </c>
      <c r="J12" s="9">
        <f>IF(J3&gt;0,VLOOKUP(J3,계산데이터!A:O,2,FALSE),0)</f>
        <v/>
      </c>
      <c r="K12" s="10">
        <f>IF(J3&gt;0,VLOOKUP(J3,계산데이터!A:O,8,FALSE),0)</f>
        <v/>
      </c>
      <c r="L12" s="10">
        <f>J12*80500</f>
        <v/>
      </c>
      <c r="M12" s="10">
        <f>L12*1.1</f>
        <v/>
      </c>
    </row>
    <row r="13">
      <c r="B13" s="12" t="inlineStr">
        <is>
          <t>※ 모든 차량 최소 1P부터 가능 (트럭 통째 대여)
※ 가능한 모든 조합 중 비용이 가장 적은 조합을 자동으로 찾아줍니다
※ 적재P = 실제 배분량 (입력값과 합계 일치)
※ 아래 상차 배분표에서 트럭별 적재량 확인 가능</t>
        </is>
      </c>
      <c r="I13" s="13" t="inlineStr">
        <is>
          <t>합계</t>
        </is>
      </c>
      <c r="J13" s="13">
        <f>SUM(J7:J12)</f>
        <v/>
      </c>
      <c r="K13" s="14">
        <f>SUM(K7:K12)</f>
        <v/>
      </c>
      <c r="L13" s="14">
        <f>SUM(L7:L12)</f>
        <v/>
      </c>
      <c r="M13" s="14">
        <f>SUM(M7:M12)</f>
        <v/>
      </c>
    </row>
    <row r="14"/>
    <row r="15">
      <c r="I15" s="15" t="inlineStr">
        <is>
          <t>파렛당 평균 (VAT별도)</t>
        </is>
      </c>
      <c r="J15" s="16" t="n"/>
      <c r="K15" s="5" t="n"/>
      <c r="L15" s="17">
        <f>IF(J3&gt;0,ROUND(L13/J3,0),0)</f>
        <v/>
      </c>
    </row>
    <row r="16">
      <c r="I16" s="15" t="inlineStr">
        <is>
          <t>파렛당 평균 (VAT포함)</t>
        </is>
      </c>
      <c r="J16" s="16" t="n"/>
      <c r="K16" s="5" t="n"/>
      <c r="M16" s="17">
        <f>IF(J3&gt;0,ROUND(M13/J3,0),0)</f>
        <v/>
      </c>
    </row>
    <row r="18">
      <c r="I18" s="1" t="inlineStr">
        <is>
          <t>🚚 트럭별 상차 배분표</t>
        </is>
      </c>
    </row>
    <row r="19">
      <c r="I19" s="8" t="inlineStr">
        <is>
          <t>순번</t>
        </is>
      </c>
      <c r="J19" s="8" t="inlineStr">
        <is>
          <t>차량톤수</t>
        </is>
      </c>
      <c r="K19" s="8" t="inlineStr">
        <is>
          <t>상차P</t>
        </is>
      </c>
      <c r="L19" s="8" t="inlineStr">
        <is>
          <t>비고</t>
        </is>
      </c>
    </row>
    <row r="20">
      <c r="I20" s="18" t="n">
        <v>1</v>
      </c>
      <c r="J20" s="18">
        <f>IF(J3&gt;0,IF(VLOOKUP(J3,상차상세!A:AE,2,FALSE)&lt;&gt;"",VLOOKUP(J3,상차상세!A:AE,2,FALSE),""),"")</f>
        <v/>
      </c>
      <c r="K20" s="19">
        <f>IF(J20&lt;&gt;"",IF(J3&gt;0,VLOOKUP(J3,상차상세!A:AE,3,FALSE),""),"")</f>
        <v/>
      </c>
      <c r="L20" s="18">
        <f>IF(AND(J20&lt;&gt;"",K20&lt;&gt;""),IF(OR(AND(J20="11톤",K20&lt;16),AND(J20="8톤",K20&lt;14),AND(J20="5톤",K20&lt;12),AND(J20="3.5톤",K20&lt;4),AND(J20="2.5톤",K20&lt;3),AND(J20="1톤",K20&lt;2)),"← 여유 "&amp;IF(J20="11톤",16-K20,IF(J20="8톤",14-K20,IF(J20="5톤",12-K20,IF(J20="3.5톤",4-K20,IF(J20="2.5톤",3-K20,2-K20)))))&amp;"P","꽉참"),"")</f>
        <v/>
      </c>
    </row>
    <row r="21">
      <c r="I21" s="18" t="n">
        <v>2</v>
      </c>
      <c r="J21" s="18">
        <f>IF(J3&gt;0,IF(VLOOKUP(J3,상차상세!A:AE,4,FALSE)&lt;&gt;"",VLOOKUP(J3,상차상세!A:AE,4,FALSE),""),"")</f>
        <v/>
      </c>
      <c r="K21" s="19">
        <f>IF(J21&lt;&gt;"",IF(J3&gt;0,VLOOKUP(J3,상차상세!A:AE,5,FALSE),""),"")</f>
        <v/>
      </c>
      <c r="L21" s="18">
        <f>IF(AND(J21&lt;&gt;"",K21&lt;&gt;""),IF(OR(AND(J21="11톤",K21&lt;16),AND(J21="8톤",K21&lt;14),AND(J21="5톤",K21&lt;12),AND(J21="3.5톤",K21&lt;4),AND(J21="2.5톤",K21&lt;3),AND(J21="1톤",K21&lt;2)),"← 여유 "&amp;IF(J21="11톤",16-K21,IF(J21="8톤",14-K21,IF(J21="5톤",12-K21,IF(J21="3.5톤",4-K21,IF(J21="2.5톤",3-K21,2-K21)))))&amp;"P","꽉참"),"")</f>
        <v/>
      </c>
    </row>
    <row r="22">
      <c r="I22" s="18" t="n">
        <v>3</v>
      </c>
      <c r="J22" s="18">
        <f>IF(J3&gt;0,IF(VLOOKUP(J3,상차상세!A:AE,6,FALSE)&lt;&gt;"",VLOOKUP(J3,상차상세!A:AE,6,FALSE),""),"")</f>
        <v/>
      </c>
      <c r="K22" s="19">
        <f>IF(J22&lt;&gt;"",IF(J3&gt;0,VLOOKUP(J3,상차상세!A:AE,7,FALSE),""),"")</f>
        <v/>
      </c>
      <c r="L22" s="18">
        <f>IF(AND(J22&lt;&gt;"",K22&lt;&gt;""),IF(OR(AND(J22="11톤",K22&lt;16),AND(J22="8톤",K22&lt;14),AND(J22="5톤",K22&lt;12),AND(J22="3.5톤",K22&lt;4),AND(J22="2.5톤",K22&lt;3),AND(J22="1톤",K22&lt;2)),"← 여유 "&amp;IF(J22="11톤",16-K22,IF(J22="8톤",14-K22,IF(J22="5톤",12-K22,IF(J22="3.5톤",4-K22,IF(J22="2.5톤",3-K22,2-K22)))))&amp;"P","꽉참"),"")</f>
        <v/>
      </c>
    </row>
    <row r="23">
      <c r="I23" s="18" t="n">
        <v>4</v>
      </c>
      <c r="J23" s="18">
        <f>IF(J3&gt;0,IF(VLOOKUP(J3,상차상세!A:AE,8,FALSE)&lt;&gt;"",VLOOKUP(J3,상차상세!A:AE,8,FALSE),""),"")</f>
        <v/>
      </c>
      <c r="K23" s="19">
        <f>IF(J23&lt;&gt;"",IF(J3&gt;0,VLOOKUP(J3,상차상세!A:AE,9,FALSE),""),"")</f>
        <v/>
      </c>
      <c r="L23" s="18">
        <f>IF(AND(J23&lt;&gt;"",K23&lt;&gt;""),IF(OR(AND(J23="11톤",K23&lt;16),AND(J23="8톤",K23&lt;14),AND(J23="5톤",K23&lt;12),AND(J23="3.5톤",K23&lt;4),AND(J23="2.5톤",K23&lt;3),AND(J23="1톤",K23&lt;2)),"← 여유 "&amp;IF(J23="11톤",16-K23,IF(J23="8톤",14-K23,IF(J23="5톤",12-K23,IF(J23="3.5톤",4-K23,IF(J23="2.5톤",3-K23,2-K23)))))&amp;"P","꽉참"),"")</f>
        <v/>
      </c>
    </row>
    <row r="24">
      <c r="I24" s="18" t="n">
        <v>5</v>
      </c>
      <c r="J24" s="18">
        <f>IF(J3&gt;0,IF(VLOOKUP(J3,상차상세!A:AE,10,FALSE)&lt;&gt;"",VLOOKUP(J3,상차상세!A:AE,10,FALSE),""),"")</f>
        <v/>
      </c>
      <c r="K24" s="19">
        <f>IF(J24&lt;&gt;"",IF(J3&gt;0,VLOOKUP(J3,상차상세!A:AE,11,FALSE),""),"")</f>
        <v/>
      </c>
      <c r="L24" s="18">
        <f>IF(AND(J24&lt;&gt;"",K24&lt;&gt;""),IF(OR(AND(J24="11톤",K24&lt;16),AND(J24="8톤",K24&lt;14),AND(J24="5톤",K24&lt;12),AND(J24="3.5톤",K24&lt;4),AND(J24="2.5톤",K24&lt;3),AND(J24="1톤",K24&lt;2)),"← 여유 "&amp;IF(J24="11톤",16-K24,IF(J24="8톤",14-K24,IF(J24="5톤",12-K24,IF(J24="3.5톤",4-K24,IF(J24="2.5톤",3-K24,2-K24)))))&amp;"P","꽉참"),"")</f>
        <v/>
      </c>
    </row>
    <row r="25">
      <c r="I25" s="18" t="n">
        <v>6</v>
      </c>
      <c r="J25" s="18">
        <f>IF(J3&gt;0,IF(VLOOKUP(J3,상차상세!A:AE,12,FALSE)&lt;&gt;"",VLOOKUP(J3,상차상세!A:AE,12,FALSE),""),"")</f>
        <v/>
      </c>
      <c r="K25" s="19">
        <f>IF(J25&lt;&gt;"",IF(J3&gt;0,VLOOKUP(J3,상차상세!A:AE,13,FALSE),""),"")</f>
        <v/>
      </c>
      <c r="L25" s="18">
        <f>IF(AND(J25&lt;&gt;"",K25&lt;&gt;""),IF(OR(AND(J25="11톤",K25&lt;16),AND(J25="8톤",K25&lt;14),AND(J25="5톤",K25&lt;12),AND(J25="3.5톤",K25&lt;4),AND(J25="2.5톤",K25&lt;3),AND(J25="1톤",K25&lt;2)),"← 여유 "&amp;IF(J25="11톤",16-K25,IF(J25="8톤",14-K25,IF(J25="5톤",12-K25,IF(J25="3.5톤",4-K25,IF(J25="2.5톤",3-K25,2-K25)))))&amp;"P","꽉참"),"")</f>
        <v/>
      </c>
    </row>
    <row r="26">
      <c r="I26" s="18" t="n">
        <v>7</v>
      </c>
      <c r="J26" s="18">
        <f>IF(J3&gt;0,IF(VLOOKUP(J3,상차상세!A:AE,14,FALSE)&lt;&gt;"",VLOOKUP(J3,상차상세!A:AE,14,FALSE),""),"")</f>
        <v/>
      </c>
      <c r="K26" s="19">
        <f>IF(J26&lt;&gt;"",IF(J3&gt;0,VLOOKUP(J3,상차상세!A:AE,15,FALSE),""),"")</f>
        <v/>
      </c>
      <c r="L26" s="18">
        <f>IF(AND(J26&lt;&gt;"",K26&lt;&gt;""),IF(OR(AND(J26="11톤",K26&lt;16),AND(J26="8톤",K26&lt;14),AND(J26="5톤",K26&lt;12),AND(J26="3.5톤",K26&lt;4),AND(J26="2.5톤",K26&lt;3),AND(J26="1톤",K26&lt;2)),"← 여유 "&amp;IF(J26="11톤",16-K26,IF(J26="8톤",14-K26,IF(J26="5톤",12-K26,IF(J26="3.5톤",4-K26,IF(J26="2.5톤",3-K26,2-K26)))))&amp;"P","꽉참"),"")</f>
        <v/>
      </c>
    </row>
    <row r="27">
      <c r="I27" s="18" t="n">
        <v>8</v>
      </c>
      <c r="J27" s="18">
        <f>IF(J3&gt;0,IF(VLOOKUP(J3,상차상세!A:AE,16,FALSE)&lt;&gt;"",VLOOKUP(J3,상차상세!A:AE,16,FALSE),""),"")</f>
        <v/>
      </c>
      <c r="K27" s="19">
        <f>IF(J27&lt;&gt;"",IF(J3&gt;0,VLOOKUP(J3,상차상세!A:AE,17,FALSE),""),"")</f>
        <v/>
      </c>
      <c r="L27" s="18">
        <f>IF(AND(J27&lt;&gt;"",K27&lt;&gt;""),IF(OR(AND(J27="11톤",K27&lt;16),AND(J27="8톤",K27&lt;14),AND(J27="5톤",K27&lt;12),AND(J27="3.5톤",K27&lt;4),AND(J27="2.5톤",K27&lt;3),AND(J27="1톤",K27&lt;2)),"← 여유 "&amp;IF(J27="11톤",16-K27,IF(J27="8톤",14-K27,IF(J27="5톤",12-K27,IF(J27="3.5톤",4-K27,IF(J27="2.5톤",3-K27,2-K27)))))&amp;"P","꽉참"),"")</f>
        <v/>
      </c>
    </row>
    <row r="28">
      <c r="I28" s="18" t="n">
        <v>9</v>
      </c>
      <c r="J28" s="18">
        <f>IF(J3&gt;0,IF(VLOOKUP(J3,상차상세!A:AE,18,FALSE)&lt;&gt;"",VLOOKUP(J3,상차상세!A:AE,18,FALSE),""),"")</f>
        <v/>
      </c>
      <c r="K28" s="19">
        <f>IF(J28&lt;&gt;"",IF(J3&gt;0,VLOOKUP(J3,상차상세!A:AE,19,FALSE),""),"")</f>
        <v/>
      </c>
      <c r="L28" s="18">
        <f>IF(AND(J28&lt;&gt;"",K28&lt;&gt;""),IF(OR(AND(J28="11톤",K28&lt;16),AND(J28="8톤",K28&lt;14),AND(J28="5톤",K28&lt;12),AND(J28="3.5톤",K28&lt;4),AND(J28="2.5톤",K28&lt;3),AND(J28="1톤",K28&lt;2)),"← 여유 "&amp;IF(J28="11톤",16-K28,IF(J28="8톤",14-K28,IF(J28="5톤",12-K28,IF(J28="3.5톤",4-K28,IF(J28="2.5톤",3-K28,2-K28)))))&amp;"P","꽉참"),"")</f>
        <v/>
      </c>
    </row>
    <row r="29">
      <c r="I29" s="18" t="n">
        <v>10</v>
      </c>
      <c r="J29" s="18">
        <f>IF(J3&gt;0,IF(VLOOKUP(J3,상차상세!A:AE,20,FALSE)&lt;&gt;"",VLOOKUP(J3,상차상세!A:AE,20,FALSE),""),"")</f>
        <v/>
      </c>
      <c r="K29" s="19">
        <f>IF(J29&lt;&gt;"",IF(J3&gt;0,VLOOKUP(J3,상차상세!A:AE,21,FALSE),""),"")</f>
        <v/>
      </c>
      <c r="L29" s="18">
        <f>IF(AND(J29&lt;&gt;"",K29&lt;&gt;""),IF(OR(AND(J29="11톤",K29&lt;16),AND(J29="8톤",K29&lt;14),AND(J29="5톤",K29&lt;12),AND(J29="3.5톤",K29&lt;4),AND(J29="2.5톤",K29&lt;3),AND(J29="1톤",K29&lt;2)),"← 여유 "&amp;IF(J29="11톤",16-K29,IF(J29="8톤",14-K29,IF(J29="5톤",12-K29,IF(J29="3.5톤",4-K29,IF(J29="2.5톤",3-K29,2-K29)))))&amp;"P","꽉참"),"")</f>
        <v/>
      </c>
    </row>
    <row r="30">
      <c r="I30" s="18" t="n">
        <v>11</v>
      </c>
      <c r="J30" s="18">
        <f>IF(J3&gt;0,IF(VLOOKUP(J3,상차상세!A:AE,22,FALSE)&lt;&gt;"",VLOOKUP(J3,상차상세!A:AE,22,FALSE),""),"")</f>
        <v/>
      </c>
      <c r="K30" s="19">
        <f>IF(J30&lt;&gt;"",IF(J3&gt;0,VLOOKUP(J3,상차상세!A:AE,23,FALSE),""),"")</f>
        <v/>
      </c>
      <c r="L30" s="18">
        <f>IF(AND(J30&lt;&gt;"",K30&lt;&gt;""),IF(OR(AND(J30="11톤",K30&lt;16),AND(J30="8톤",K30&lt;14),AND(J30="5톤",K30&lt;12),AND(J30="3.5톤",K30&lt;4),AND(J30="2.5톤",K30&lt;3),AND(J30="1톤",K30&lt;2)),"← 여유 "&amp;IF(J30="11톤",16-K30,IF(J30="8톤",14-K30,IF(J30="5톤",12-K30,IF(J30="3.5톤",4-K30,IF(J30="2.5톤",3-K30,2-K30)))))&amp;"P","꽉참"),"")</f>
        <v/>
      </c>
    </row>
    <row r="31">
      <c r="I31" s="18" t="n">
        <v>12</v>
      </c>
      <c r="J31" s="18">
        <f>IF(J3&gt;0,IF(VLOOKUP(J3,상차상세!A:AE,24,FALSE)&lt;&gt;"",VLOOKUP(J3,상차상세!A:AE,24,FALSE),""),"")</f>
        <v/>
      </c>
      <c r="K31" s="19">
        <f>IF(J31&lt;&gt;"",IF(J3&gt;0,VLOOKUP(J3,상차상세!A:AE,25,FALSE),""),"")</f>
        <v/>
      </c>
      <c r="L31" s="18">
        <f>IF(AND(J31&lt;&gt;"",K31&lt;&gt;""),IF(OR(AND(J31="11톤",K31&lt;16),AND(J31="8톤",K31&lt;14),AND(J31="5톤",K31&lt;12),AND(J31="3.5톤",K31&lt;4),AND(J31="2.5톤",K31&lt;3),AND(J31="1톤",K31&lt;2)),"← 여유 "&amp;IF(J31="11톤",16-K31,IF(J31="8톤",14-K31,IF(J31="5톤",12-K31,IF(J31="3.5톤",4-K31,IF(J31="2.5톤",3-K31,2-K31)))))&amp;"P","꽉참"),"")</f>
        <v/>
      </c>
    </row>
    <row r="32">
      <c r="I32" s="18" t="n">
        <v>13</v>
      </c>
      <c r="J32" s="18">
        <f>IF(J3&gt;0,IF(VLOOKUP(J3,상차상세!A:AE,26,FALSE)&lt;&gt;"",VLOOKUP(J3,상차상세!A:AE,26,FALSE),""),"")</f>
        <v/>
      </c>
      <c r="K32" s="19">
        <f>IF(J32&lt;&gt;"",IF(J3&gt;0,VLOOKUP(J3,상차상세!A:AE,27,FALSE),""),"")</f>
        <v/>
      </c>
      <c r="L32" s="18">
        <f>IF(AND(J32&lt;&gt;"",K32&lt;&gt;""),IF(OR(AND(J32="11톤",K32&lt;16),AND(J32="8톤",K32&lt;14),AND(J32="5톤",K32&lt;12),AND(J32="3.5톤",K32&lt;4),AND(J32="2.5톤",K32&lt;3),AND(J32="1톤",K32&lt;2)),"← 여유 "&amp;IF(J32="11톤",16-K32,IF(J32="8톤",14-K32,IF(J32="5톤",12-K32,IF(J32="3.5톤",4-K32,IF(J32="2.5톤",3-K32,2-K32)))))&amp;"P","꽉참"),"")</f>
        <v/>
      </c>
    </row>
    <row r="33">
      <c r="I33" s="18" t="n">
        <v>14</v>
      </c>
      <c r="J33" s="18">
        <f>IF(J3&gt;0,IF(VLOOKUP(J3,상차상세!A:AE,28,FALSE)&lt;&gt;"",VLOOKUP(J3,상차상세!A:AE,28,FALSE),""),"")</f>
        <v/>
      </c>
      <c r="K33" s="19">
        <f>IF(J33&lt;&gt;"",IF(J3&gt;0,VLOOKUP(J3,상차상세!A:AE,29,FALSE),""),"")</f>
        <v/>
      </c>
      <c r="L33" s="18">
        <f>IF(AND(J33&lt;&gt;"",K33&lt;&gt;""),IF(OR(AND(J33="11톤",K33&lt;16),AND(J33="8톤",K33&lt;14),AND(J33="5톤",K33&lt;12),AND(J33="3.5톤",K33&lt;4),AND(J33="2.5톤",K33&lt;3),AND(J33="1톤",K33&lt;2)),"← 여유 "&amp;IF(J33="11톤",16-K33,IF(J33="8톤",14-K33,IF(J33="5톤",12-K33,IF(J33="3.5톤",4-K33,IF(J33="2.5톤",3-K33,2-K33)))))&amp;"P","꽉참"),"")</f>
        <v/>
      </c>
    </row>
    <row r="34">
      <c r="I34" s="18" t="n">
        <v>15</v>
      </c>
      <c r="J34" s="18">
        <f>IF(J3&gt;0,IF(VLOOKUP(J3,상차상세!A:AE,30,FALSE)&lt;&gt;"",VLOOKUP(J3,상차상세!A:AE,30,FALSE),""),"")</f>
        <v/>
      </c>
      <c r="K34" s="19">
        <f>IF(J34&lt;&gt;"",IF(J3&gt;0,VLOOKUP(J3,상차상세!A:AE,31,FALSE),""),"")</f>
        <v/>
      </c>
      <c r="L34" s="18">
        <f>IF(AND(J34&lt;&gt;"",K34&lt;&gt;""),IF(OR(AND(J34="11톤",K34&lt;16),AND(J34="8톤",K34&lt;14),AND(J34="5톤",K34&lt;12),AND(J34="3.5톤",K34&lt;4),AND(J34="2.5톤",K34&lt;3),AND(J34="1톤",K34&lt;2)),"← 여유 "&amp;IF(J34="11톤",16-K34,IF(J34="8톤",14-K34,IF(J34="5톤",12-K34,IF(J34="3.5톤",4-K34,IF(J34="2.5톤",3-K34,2-K34)))))&amp;"P","꽉참"),"")</f>
        <v/>
      </c>
    </row>
    <row r="35">
      <c r="I35" s="13" t="inlineStr">
        <is>
          <t>합계</t>
        </is>
      </c>
      <c r="J35" s="13">
        <f>COUNTA(J20:J34)</f>
        <v/>
      </c>
      <c r="K35" s="14">
        <f>SUM(K20:K34)</f>
        <v/>
      </c>
    </row>
  </sheetData>
  <mergeCells count="9">
    <mergeCell ref="I18:M18"/>
    <mergeCell ref="B2:G2"/>
    <mergeCell ref="J3:K3"/>
    <mergeCell ref="I16:K16"/>
    <mergeCell ref="I2:K2"/>
    <mergeCell ref="B13:G16"/>
    <mergeCell ref="B12:G12"/>
    <mergeCell ref="I5:M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파렛트수</t>
        </is>
      </c>
      <c r="B1" t="inlineStr">
        <is>
          <t>1톤_대수</t>
        </is>
      </c>
      <c r="C1" t="inlineStr">
        <is>
          <t>2.5톤_대수</t>
        </is>
      </c>
      <c r="D1" t="inlineStr">
        <is>
          <t>3.5톤_대수</t>
        </is>
      </c>
      <c r="E1" t="inlineStr">
        <is>
          <t>5톤_대수</t>
        </is>
      </c>
      <c r="F1" t="inlineStr">
        <is>
          <t>8톤_대수</t>
        </is>
      </c>
      <c r="G1" t="inlineStr">
        <is>
          <t>11톤_대수</t>
        </is>
      </c>
      <c r="H1" t="inlineStr">
        <is>
          <t>1톤_적재P</t>
        </is>
      </c>
      <c r="I1" t="inlineStr">
        <is>
          <t>2.5톤_적재P</t>
        </is>
      </c>
      <c r="J1" t="inlineStr">
        <is>
          <t>3.5톤_적재P</t>
        </is>
      </c>
      <c r="K1" t="inlineStr">
        <is>
          <t>5톤_적재P</t>
        </is>
      </c>
      <c r="L1" t="inlineStr">
        <is>
          <t>8톤_적재P</t>
        </is>
      </c>
      <c r="M1" t="inlineStr">
        <is>
          <t>11톤_적재P</t>
        </is>
      </c>
      <c r="N1" t="inlineStr">
        <is>
          <t>총비용</t>
        </is>
      </c>
      <c r="O1" t="inlineStr">
        <is>
          <t>총대수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80500</v>
      </c>
      <c r="O2" t="n">
        <v>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80500</v>
      </c>
      <c r="O3" t="n">
        <v>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94500</v>
      </c>
      <c r="O4" t="n">
        <v>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107500</v>
      </c>
      <c r="O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129500</v>
      </c>
      <c r="O6" t="n">
        <v>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0</v>
      </c>
      <c r="M7" t="n">
        <v>0</v>
      </c>
      <c r="N7" t="n">
        <v>129500</v>
      </c>
      <c r="O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0</v>
      </c>
      <c r="N8" t="n">
        <v>129500</v>
      </c>
      <c r="O8" t="n">
        <v>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0</v>
      </c>
      <c r="M9" t="n">
        <v>0</v>
      </c>
      <c r="N9" t="n">
        <v>129500</v>
      </c>
      <c r="O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129500</v>
      </c>
      <c r="O10" t="n">
        <v>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</v>
      </c>
      <c r="L11" t="n">
        <v>0</v>
      </c>
      <c r="M11" t="n">
        <v>0</v>
      </c>
      <c r="N11" t="n">
        <v>129500</v>
      </c>
      <c r="O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</v>
      </c>
      <c r="L12" t="n">
        <v>0</v>
      </c>
      <c r="M12" t="n">
        <v>0</v>
      </c>
      <c r="N12" t="n">
        <v>129500</v>
      </c>
      <c r="O12" t="n">
        <v>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  <c r="L13" t="n">
        <v>0</v>
      </c>
      <c r="M13" t="n">
        <v>0</v>
      </c>
      <c r="N13" t="n">
        <v>129500</v>
      </c>
      <c r="O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</v>
      </c>
      <c r="M14" t="n">
        <v>0</v>
      </c>
      <c r="N14" t="n">
        <v>144000</v>
      </c>
      <c r="O14" t="n">
        <v>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0</v>
      </c>
      <c r="N15" t="n">
        <v>144000</v>
      </c>
      <c r="O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</v>
      </c>
      <c r="N16" t="n">
        <v>168000</v>
      </c>
      <c r="O16" t="n">
        <v>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n">
        <v>168000</v>
      </c>
      <c r="O17" t="n">
        <v>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14</v>
      </c>
      <c r="M18" t="n">
        <v>0</v>
      </c>
      <c r="N18" t="n">
        <v>238500</v>
      </c>
      <c r="O18" t="n">
        <v>2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16</v>
      </c>
      <c r="N19" t="n">
        <v>248500</v>
      </c>
      <c r="O19" t="n">
        <v>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</v>
      </c>
      <c r="L20" t="n">
        <v>0</v>
      </c>
      <c r="M20" t="n">
        <v>0</v>
      </c>
      <c r="N20" t="n">
        <v>259000</v>
      </c>
      <c r="O20" t="n">
        <v>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</v>
      </c>
      <c r="L21" t="n">
        <v>0</v>
      </c>
      <c r="M21" t="n">
        <v>0</v>
      </c>
      <c r="N21" t="n">
        <v>259000</v>
      </c>
      <c r="O21" t="n">
        <v>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</v>
      </c>
      <c r="L22" t="n">
        <v>0</v>
      </c>
      <c r="M22" t="n">
        <v>0</v>
      </c>
      <c r="N22" t="n">
        <v>259000</v>
      </c>
      <c r="O22" t="n">
        <v>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</v>
      </c>
      <c r="L23" t="n">
        <v>0</v>
      </c>
      <c r="M23" t="n">
        <v>0</v>
      </c>
      <c r="N23" t="n">
        <v>259000</v>
      </c>
      <c r="O23" t="n">
        <v>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</v>
      </c>
      <c r="L24" t="n">
        <v>0</v>
      </c>
      <c r="M24" t="n">
        <v>0</v>
      </c>
      <c r="N24" t="n">
        <v>259000</v>
      </c>
      <c r="O24" t="n">
        <v>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</v>
      </c>
      <c r="L25" t="n">
        <v>0</v>
      </c>
      <c r="M25" t="n">
        <v>0</v>
      </c>
      <c r="N25" t="n">
        <v>259000</v>
      </c>
      <c r="O25" t="n">
        <v>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12</v>
      </c>
      <c r="L26" t="n">
        <v>13</v>
      </c>
      <c r="M26" t="n">
        <v>0</v>
      </c>
      <c r="N26" t="n">
        <v>273500</v>
      </c>
      <c r="O26" t="n">
        <v>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12</v>
      </c>
      <c r="L27" t="n">
        <v>14</v>
      </c>
      <c r="M27" t="n">
        <v>0</v>
      </c>
      <c r="N27" t="n">
        <v>273500</v>
      </c>
      <c r="O27" t="n">
        <v>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</v>
      </c>
      <c r="M28" t="n">
        <v>0</v>
      </c>
      <c r="N28" t="n">
        <v>288000</v>
      </c>
      <c r="O28" t="n">
        <v>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</v>
      </c>
      <c r="M29" t="n">
        <v>0</v>
      </c>
      <c r="N29" t="n">
        <v>288000</v>
      </c>
      <c r="O29" t="n">
        <v>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14</v>
      </c>
      <c r="M30" t="n">
        <v>15</v>
      </c>
      <c r="N30" t="n">
        <v>312000</v>
      </c>
      <c r="O30" t="n">
        <v>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14</v>
      </c>
      <c r="M31" t="n">
        <v>16</v>
      </c>
      <c r="N31" t="n">
        <v>312000</v>
      </c>
      <c r="O31" t="n">
        <v>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</v>
      </c>
      <c r="N32" t="n">
        <v>336000</v>
      </c>
      <c r="O32" t="n">
        <v>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32</v>
      </c>
      <c r="N33" t="n">
        <v>336000</v>
      </c>
      <c r="O33" t="n">
        <v>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388500</v>
      </c>
      <c r="O34" t="n">
        <v>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</v>
      </c>
      <c r="L35" t="n">
        <v>0</v>
      </c>
      <c r="M35" t="n">
        <v>0</v>
      </c>
      <c r="N35" t="n">
        <v>388500</v>
      </c>
      <c r="O35" t="n">
        <v>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388500</v>
      </c>
      <c r="O36" t="n">
        <v>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</v>
      </c>
      <c r="L37" t="n">
        <v>0</v>
      </c>
      <c r="M37" t="n">
        <v>0</v>
      </c>
      <c r="N37" t="n">
        <v>388500</v>
      </c>
      <c r="O37" t="n">
        <v>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24</v>
      </c>
      <c r="L38" t="n">
        <v>13</v>
      </c>
      <c r="M38" t="n">
        <v>0</v>
      </c>
      <c r="N38" t="n">
        <v>403000</v>
      </c>
      <c r="O38" t="n">
        <v>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2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24</v>
      </c>
      <c r="L39" t="n">
        <v>14</v>
      </c>
      <c r="M39" t="n">
        <v>0</v>
      </c>
      <c r="N39" t="n">
        <v>403000</v>
      </c>
      <c r="O39" t="n">
        <v>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12</v>
      </c>
      <c r="L40" t="n">
        <v>27</v>
      </c>
      <c r="M40" t="n">
        <v>0</v>
      </c>
      <c r="N40" t="n">
        <v>417500</v>
      </c>
      <c r="O40" t="n">
        <v>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12</v>
      </c>
      <c r="L41" t="n">
        <v>28</v>
      </c>
      <c r="M41" t="n">
        <v>0</v>
      </c>
      <c r="N41" t="n">
        <v>417500</v>
      </c>
      <c r="O41" t="n">
        <v>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</v>
      </c>
      <c r="M42" t="n">
        <v>0</v>
      </c>
      <c r="N42" t="n">
        <v>432000</v>
      </c>
      <c r="O42" t="n">
        <v>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</v>
      </c>
      <c r="M43" t="n">
        <v>0</v>
      </c>
      <c r="N43" t="n">
        <v>432000</v>
      </c>
      <c r="O43" t="n">
        <v>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28</v>
      </c>
      <c r="M44" t="n">
        <v>15</v>
      </c>
      <c r="N44" t="n">
        <v>456000</v>
      </c>
      <c r="O44" t="n">
        <v>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28</v>
      </c>
      <c r="M45" t="n">
        <v>16</v>
      </c>
      <c r="N45" t="n">
        <v>456000</v>
      </c>
      <c r="O45" t="n">
        <v>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14</v>
      </c>
      <c r="M46" t="n">
        <v>31</v>
      </c>
      <c r="N46" t="n">
        <v>480000</v>
      </c>
      <c r="O46" t="n">
        <v>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14</v>
      </c>
      <c r="M47" t="n">
        <v>32</v>
      </c>
      <c r="N47" t="n">
        <v>480000</v>
      </c>
      <c r="O47" t="n">
        <v>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47</v>
      </c>
      <c r="N48" t="n">
        <v>504000</v>
      </c>
      <c r="O48" t="n">
        <v>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48</v>
      </c>
      <c r="N49" t="n">
        <v>504000</v>
      </c>
      <c r="O49" t="n">
        <v>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3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36</v>
      </c>
      <c r="L50" t="n">
        <v>13</v>
      </c>
      <c r="M50" t="n">
        <v>0</v>
      </c>
      <c r="N50" t="n">
        <v>532500</v>
      </c>
      <c r="O50" t="n">
        <v>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3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36</v>
      </c>
      <c r="L51" t="n">
        <v>14</v>
      </c>
      <c r="M51" t="n">
        <v>0</v>
      </c>
      <c r="N51" t="n">
        <v>532500</v>
      </c>
      <c r="O51" t="n">
        <v>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27</v>
      </c>
      <c r="M52" t="n">
        <v>0</v>
      </c>
      <c r="N52" t="n">
        <v>547000</v>
      </c>
      <c r="O52" t="n">
        <v>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24</v>
      </c>
      <c r="L53" t="n">
        <v>28</v>
      </c>
      <c r="M53" t="n">
        <v>0</v>
      </c>
      <c r="N53" t="n">
        <v>547000</v>
      </c>
      <c r="O53" t="n">
        <v>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12</v>
      </c>
      <c r="L54" t="n">
        <v>41</v>
      </c>
      <c r="M54" t="n">
        <v>0</v>
      </c>
      <c r="N54" t="n">
        <v>561500</v>
      </c>
      <c r="O54" t="n">
        <v>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  <c r="L55" t="n">
        <v>42</v>
      </c>
      <c r="M55" t="n">
        <v>0</v>
      </c>
      <c r="N55" t="n">
        <v>561500</v>
      </c>
      <c r="O55" t="n">
        <v>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55</v>
      </c>
      <c r="M56" t="n">
        <v>0</v>
      </c>
      <c r="N56" t="n">
        <v>576000</v>
      </c>
      <c r="O56" t="n">
        <v>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56</v>
      </c>
      <c r="M57" t="n">
        <v>0</v>
      </c>
      <c r="N57" t="n">
        <v>576000</v>
      </c>
      <c r="O57" t="n">
        <v>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3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42</v>
      </c>
      <c r="M58" t="n">
        <v>15</v>
      </c>
      <c r="N58" t="n">
        <v>600000</v>
      </c>
      <c r="O58" t="n">
        <v>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3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42</v>
      </c>
      <c r="M59" t="n">
        <v>16</v>
      </c>
      <c r="N59" t="n">
        <v>600000</v>
      </c>
      <c r="O59" t="n">
        <v>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2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28</v>
      </c>
      <c r="M60" t="n">
        <v>31</v>
      </c>
      <c r="N60" t="n">
        <v>624000</v>
      </c>
      <c r="O60" t="n">
        <v>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2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28</v>
      </c>
      <c r="M61" t="n">
        <v>32</v>
      </c>
      <c r="N61" t="n">
        <v>624000</v>
      </c>
      <c r="O61" t="n">
        <v>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14</v>
      </c>
      <c r="M62" t="n">
        <v>47</v>
      </c>
      <c r="N62" t="n">
        <v>648000</v>
      </c>
      <c r="O62" t="n">
        <v>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14</v>
      </c>
      <c r="M63" t="n">
        <v>48</v>
      </c>
      <c r="N63" t="n">
        <v>648000</v>
      </c>
      <c r="O63" t="n">
        <v>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63</v>
      </c>
      <c r="N64" t="n">
        <v>672000</v>
      </c>
      <c r="O64" t="n">
        <v>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64</v>
      </c>
      <c r="N65" t="n">
        <v>672000</v>
      </c>
      <c r="O65" t="n">
        <v>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2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24</v>
      </c>
      <c r="L66" t="n">
        <v>41</v>
      </c>
      <c r="M66" t="n">
        <v>0</v>
      </c>
      <c r="N66" t="n">
        <v>691000</v>
      </c>
      <c r="O66" t="n">
        <v>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2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24</v>
      </c>
      <c r="L67" t="n">
        <v>42</v>
      </c>
      <c r="M67" t="n">
        <v>0</v>
      </c>
      <c r="N67" t="n">
        <v>691000</v>
      </c>
      <c r="O67" t="n">
        <v>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12</v>
      </c>
      <c r="L68" t="n">
        <v>55</v>
      </c>
      <c r="M68" t="n">
        <v>0</v>
      </c>
      <c r="N68" t="n">
        <v>705500</v>
      </c>
      <c r="O68" t="n">
        <v>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12</v>
      </c>
      <c r="L69" t="n">
        <v>56</v>
      </c>
      <c r="M69" t="n">
        <v>0</v>
      </c>
      <c r="N69" t="n">
        <v>705500</v>
      </c>
      <c r="O69" t="n">
        <v>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69</v>
      </c>
      <c r="M70" t="n">
        <v>0</v>
      </c>
      <c r="N70" t="n">
        <v>720000</v>
      </c>
      <c r="O70" t="n">
        <v>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n">
        <v>0</v>
      </c>
      <c r="N71" t="n">
        <v>720000</v>
      </c>
      <c r="O71" t="n">
        <v>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4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56</v>
      </c>
      <c r="M72" t="n">
        <v>15</v>
      </c>
      <c r="N72" t="n">
        <v>744000</v>
      </c>
      <c r="O72" t="n">
        <v>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56</v>
      </c>
      <c r="M73" t="n">
        <v>16</v>
      </c>
      <c r="N73" t="n">
        <v>744000</v>
      </c>
      <c r="O73" t="n">
        <v>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3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42</v>
      </c>
      <c r="M74" t="n">
        <v>31</v>
      </c>
      <c r="N74" t="n">
        <v>768000</v>
      </c>
      <c r="O74" t="n">
        <v>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3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42</v>
      </c>
      <c r="M75" t="n">
        <v>32</v>
      </c>
      <c r="N75" t="n">
        <v>768000</v>
      </c>
      <c r="O75" t="n">
        <v>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28</v>
      </c>
      <c r="M76" t="n">
        <v>47</v>
      </c>
      <c r="N76" t="n">
        <v>792000</v>
      </c>
      <c r="O76" t="n">
        <v>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28</v>
      </c>
      <c r="M77" t="n">
        <v>48</v>
      </c>
      <c r="N77" t="n">
        <v>792000</v>
      </c>
      <c r="O77" t="n">
        <v>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14</v>
      </c>
      <c r="M78" t="n">
        <v>63</v>
      </c>
      <c r="N78" t="n">
        <v>816000</v>
      </c>
      <c r="O78" t="n">
        <v>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4</v>
      </c>
      <c r="H79" t="n">
        <v>0</v>
      </c>
      <c r="I79" t="n">
        <v>0</v>
      </c>
      <c r="J79" t="n">
        <v>0</v>
      </c>
      <c r="K79" t="n">
        <v>0</v>
      </c>
      <c r="L79" t="n">
        <v>14</v>
      </c>
      <c r="M79" t="n">
        <v>64</v>
      </c>
      <c r="N79" t="n">
        <v>816000</v>
      </c>
      <c r="O79" t="n">
        <v>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2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24</v>
      </c>
      <c r="L80" t="n">
        <v>55</v>
      </c>
      <c r="M80" t="n">
        <v>0</v>
      </c>
      <c r="N80" t="n">
        <v>835000</v>
      </c>
      <c r="O80" t="n">
        <v>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2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24</v>
      </c>
      <c r="L81" t="n">
        <v>56</v>
      </c>
      <c r="M81" t="n">
        <v>0</v>
      </c>
      <c r="N81" t="n">
        <v>835000</v>
      </c>
      <c r="O81" t="n">
        <v>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12</v>
      </c>
      <c r="L82" t="n">
        <v>69</v>
      </c>
      <c r="M82" t="n">
        <v>0</v>
      </c>
      <c r="N82" t="n">
        <v>849500</v>
      </c>
      <c r="O82" t="n">
        <v>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12</v>
      </c>
      <c r="L83" t="n">
        <v>70</v>
      </c>
      <c r="M83" t="n">
        <v>0</v>
      </c>
      <c r="N83" t="n">
        <v>849500</v>
      </c>
      <c r="O83" t="n">
        <v>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83</v>
      </c>
      <c r="M84" t="n">
        <v>0</v>
      </c>
      <c r="N84" t="n">
        <v>864000</v>
      </c>
      <c r="O84" t="n">
        <v>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84</v>
      </c>
      <c r="M85" t="n">
        <v>0</v>
      </c>
      <c r="N85" t="n">
        <v>864000</v>
      </c>
      <c r="O85" t="n">
        <v>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5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n">
        <v>15</v>
      </c>
      <c r="N86" t="n">
        <v>888000</v>
      </c>
      <c r="O86" t="n">
        <v>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5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n">
        <v>16</v>
      </c>
      <c r="N87" t="n">
        <v>888000</v>
      </c>
      <c r="O87" t="n">
        <v>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4</v>
      </c>
      <c r="G88" t="n">
        <v>2</v>
      </c>
      <c r="H88" t="n">
        <v>0</v>
      </c>
      <c r="I88" t="n">
        <v>0</v>
      </c>
      <c r="J88" t="n">
        <v>0</v>
      </c>
      <c r="K88" t="n">
        <v>0</v>
      </c>
      <c r="L88" t="n">
        <v>56</v>
      </c>
      <c r="M88" t="n">
        <v>31</v>
      </c>
      <c r="N88" t="n">
        <v>912000</v>
      </c>
      <c r="O88" t="n">
        <v>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4</v>
      </c>
      <c r="G89" t="n">
        <v>2</v>
      </c>
      <c r="H89" t="n">
        <v>0</v>
      </c>
      <c r="I89" t="n">
        <v>0</v>
      </c>
      <c r="J89" t="n">
        <v>0</v>
      </c>
      <c r="K89" t="n">
        <v>0</v>
      </c>
      <c r="L89" t="n">
        <v>56</v>
      </c>
      <c r="M89" t="n">
        <v>32</v>
      </c>
      <c r="N89" t="n">
        <v>912000</v>
      </c>
      <c r="O89" t="n">
        <v>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3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42</v>
      </c>
      <c r="M90" t="n">
        <v>47</v>
      </c>
      <c r="N90" t="n">
        <v>936000</v>
      </c>
      <c r="O90" t="n">
        <v>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3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42</v>
      </c>
      <c r="M91" t="n">
        <v>48</v>
      </c>
      <c r="N91" t="n">
        <v>936000</v>
      </c>
      <c r="O91" t="n">
        <v>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2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28</v>
      </c>
      <c r="M92" t="n">
        <v>63</v>
      </c>
      <c r="N92" t="n">
        <v>960000</v>
      </c>
      <c r="O92" t="n">
        <v>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2</v>
      </c>
      <c r="G93" t="n">
        <v>4</v>
      </c>
      <c r="H93" t="n">
        <v>0</v>
      </c>
      <c r="I93" t="n">
        <v>0</v>
      </c>
      <c r="J93" t="n">
        <v>0</v>
      </c>
      <c r="K93" t="n">
        <v>0</v>
      </c>
      <c r="L93" t="n">
        <v>28</v>
      </c>
      <c r="M93" t="n">
        <v>64</v>
      </c>
      <c r="N93" t="n">
        <v>960000</v>
      </c>
      <c r="O93" t="n">
        <v>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24</v>
      </c>
      <c r="L94" t="n">
        <v>69</v>
      </c>
      <c r="M94" t="n">
        <v>0</v>
      </c>
      <c r="N94" t="n">
        <v>979000</v>
      </c>
      <c r="O94" t="n">
        <v>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2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24</v>
      </c>
      <c r="L95" t="n">
        <v>70</v>
      </c>
      <c r="M95" t="n">
        <v>0</v>
      </c>
      <c r="N95" t="n">
        <v>979000</v>
      </c>
      <c r="O95" t="n">
        <v>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12</v>
      </c>
      <c r="L96" t="n">
        <v>83</v>
      </c>
      <c r="M96" t="n">
        <v>0</v>
      </c>
      <c r="N96" t="n">
        <v>993500</v>
      </c>
      <c r="O96" t="n">
        <v>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6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  <c r="L97" t="n">
        <v>84</v>
      </c>
      <c r="M97" t="n">
        <v>0</v>
      </c>
      <c r="N97" t="n">
        <v>993500</v>
      </c>
      <c r="O97" t="n">
        <v>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97</v>
      </c>
      <c r="M98" t="n">
        <v>0</v>
      </c>
      <c r="N98" t="n">
        <v>1008000</v>
      </c>
      <c r="O98" t="n">
        <v>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98</v>
      </c>
      <c r="M99" t="n">
        <v>0</v>
      </c>
      <c r="N99" t="n">
        <v>1008000</v>
      </c>
      <c r="O99" t="n">
        <v>7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6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84</v>
      </c>
      <c r="M100" t="n">
        <v>15</v>
      </c>
      <c r="N100" t="n">
        <v>1032000</v>
      </c>
      <c r="O100" t="n">
        <v>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6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84</v>
      </c>
      <c r="M101" t="n">
        <v>16</v>
      </c>
      <c r="N101" t="n">
        <v>1032000</v>
      </c>
      <c r="O101" t="n">
        <v>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5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n">
        <v>31</v>
      </c>
      <c r="N102" t="n">
        <v>1056000</v>
      </c>
      <c r="O102" t="n">
        <v>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5</v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n">
        <v>32</v>
      </c>
      <c r="N103" t="n">
        <v>1056000</v>
      </c>
      <c r="O103" t="n">
        <v>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4</v>
      </c>
      <c r="G104" t="n">
        <v>3</v>
      </c>
      <c r="H104" t="n">
        <v>0</v>
      </c>
      <c r="I104" t="n">
        <v>0</v>
      </c>
      <c r="J104" t="n">
        <v>0</v>
      </c>
      <c r="K104" t="n">
        <v>0</v>
      </c>
      <c r="L104" t="n">
        <v>56</v>
      </c>
      <c r="M104" t="n">
        <v>47</v>
      </c>
      <c r="N104" t="n">
        <v>1080000</v>
      </c>
      <c r="O104" t="n">
        <v>7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4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56</v>
      </c>
      <c r="M105" t="n">
        <v>48</v>
      </c>
      <c r="N105" t="n">
        <v>1080000</v>
      </c>
      <c r="O105" t="n">
        <v>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3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42</v>
      </c>
      <c r="M106" t="n">
        <v>63</v>
      </c>
      <c r="N106" t="n">
        <v>1104000</v>
      </c>
      <c r="O106" t="n">
        <v>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3</v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42</v>
      </c>
      <c r="M107" t="n">
        <v>64</v>
      </c>
      <c r="N107" t="n">
        <v>1104000</v>
      </c>
      <c r="O107" t="n">
        <v>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2</v>
      </c>
      <c r="F108" t="n">
        <v>6</v>
      </c>
      <c r="G108" t="n">
        <v>0</v>
      </c>
      <c r="H108" t="n">
        <v>0</v>
      </c>
      <c r="I108" t="n">
        <v>0</v>
      </c>
      <c r="J108" t="n">
        <v>0</v>
      </c>
      <c r="K108" t="n">
        <v>24</v>
      </c>
      <c r="L108" t="n">
        <v>83</v>
      </c>
      <c r="M108" t="n">
        <v>0</v>
      </c>
      <c r="N108" t="n">
        <v>1123000</v>
      </c>
      <c r="O108" t="n">
        <v>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2</v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24</v>
      </c>
      <c r="L109" t="n">
        <v>84</v>
      </c>
      <c r="M109" t="n">
        <v>0</v>
      </c>
      <c r="N109" t="n">
        <v>1123000</v>
      </c>
      <c r="O109" t="n">
        <v>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7</v>
      </c>
      <c r="G110" t="n">
        <v>0</v>
      </c>
      <c r="H110" t="n">
        <v>0</v>
      </c>
      <c r="I110" t="n">
        <v>0</v>
      </c>
      <c r="J110" t="n">
        <v>0</v>
      </c>
      <c r="K110" t="n">
        <v>12</v>
      </c>
      <c r="L110" t="n">
        <v>97</v>
      </c>
      <c r="M110" t="n">
        <v>0</v>
      </c>
      <c r="N110" t="n">
        <v>1137500</v>
      </c>
      <c r="O110" t="n">
        <v>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7</v>
      </c>
      <c r="G111" t="n">
        <v>0</v>
      </c>
      <c r="H111" t="n">
        <v>0</v>
      </c>
      <c r="I111" t="n">
        <v>0</v>
      </c>
      <c r="J111" t="n">
        <v>0</v>
      </c>
      <c r="K111" t="n">
        <v>12</v>
      </c>
      <c r="L111" t="n">
        <v>98</v>
      </c>
      <c r="M111" t="n">
        <v>0</v>
      </c>
      <c r="N111" t="n">
        <v>1137500</v>
      </c>
      <c r="O111" t="n">
        <v>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111</v>
      </c>
      <c r="M112" t="n">
        <v>0</v>
      </c>
      <c r="N112" t="n">
        <v>1152000</v>
      </c>
      <c r="O112" t="n">
        <v>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112</v>
      </c>
      <c r="M113" t="n">
        <v>0</v>
      </c>
      <c r="N113" t="n">
        <v>1152000</v>
      </c>
      <c r="O113" t="n">
        <v>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7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98</v>
      </c>
      <c r="M114" t="n">
        <v>15</v>
      </c>
      <c r="N114" t="n">
        <v>1176000</v>
      </c>
      <c r="O114" t="n">
        <v>8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7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98</v>
      </c>
      <c r="M115" t="n">
        <v>16</v>
      </c>
      <c r="N115" t="n">
        <v>1176000</v>
      </c>
      <c r="O115" t="n">
        <v>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6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84</v>
      </c>
      <c r="M116" t="n">
        <v>31</v>
      </c>
      <c r="N116" t="n">
        <v>1200000</v>
      </c>
      <c r="O116" t="n">
        <v>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6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84</v>
      </c>
      <c r="M117" t="n">
        <v>32</v>
      </c>
      <c r="N117" t="n">
        <v>1200000</v>
      </c>
      <c r="O117" t="n">
        <v>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5</v>
      </c>
      <c r="G118" t="n">
        <v>3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n">
        <v>47</v>
      </c>
      <c r="N118" t="n">
        <v>1224000</v>
      </c>
      <c r="O118" t="n">
        <v>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5</v>
      </c>
      <c r="G119" t="n">
        <v>3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n">
        <v>48</v>
      </c>
      <c r="N119" t="n">
        <v>1224000</v>
      </c>
      <c r="O119" t="n">
        <v>8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4</v>
      </c>
      <c r="G120" t="n">
        <v>4</v>
      </c>
      <c r="H120" t="n">
        <v>0</v>
      </c>
      <c r="I120" t="n">
        <v>0</v>
      </c>
      <c r="J120" t="n">
        <v>0</v>
      </c>
      <c r="K120" t="n">
        <v>0</v>
      </c>
      <c r="L120" t="n">
        <v>56</v>
      </c>
      <c r="M120" t="n">
        <v>63</v>
      </c>
      <c r="N120" t="n">
        <v>1248000</v>
      </c>
      <c r="O120" t="n">
        <v>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4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56</v>
      </c>
      <c r="M121" t="n">
        <v>64</v>
      </c>
      <c r="N121" t="n">
        <v>1248000</v>
      </c>
      <c r="O121" t="n">
        <v>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2</v>
      </c>
      <c r="F122" t="n">
        <v>7</v>
      </c>
      <c r="G122" t="n">
        <v>0</v>
      </c>
      <c r="H122" t="n">
        <v>0</v>
      </c>
      <c r="I122" t="n">
        <v>0</v>
      </c>
      <c r="J122" t="n">
        <v>0</v>
      </c>
      <c r="K122" t="n">
        <v>24</v>
      </c>
      <c r="L122" t="n">
        <v>97</v>
      </c>
      <c r="M122" t="n">
        <v>0</v>
      </c>
      <c r="N122" t="n">
        <v>1267000</v>
      </c>
      <c r="O122" t="n">
        <v>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2</v>
      </c>
      <c r="F123" t="n">
        <v>7</v>
      </c>
      <c r="G123" t="n">
        <v>0</v>
      </c>
      <c r="H123" t="n">
        <v>0</v>
      </c>
      <c r="I123" t="n">
        <v>0</v>
      </c>
      <c r="J123" t="n">
        <v>0</v>
      </c>
      <c r="K123" t="n">
        <v>24</v>
      </c>
      <c r="L123" t="n">
        <v>98</v>
      </c>
      <c r="M123" t="n">
        <v>0</v>
      </c>
      <c r="N123" t="n">
        <v>1267000</v>
      </c>
      <c r="O123" t="n">
        <v>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8</v>
      </c>
      <c r="G124" t="n">
        <v>0</v>
      </c>
      <c r="H124" t="n">
        <v>0</v>
      </c>
      <c r="I124" t="n">
        <v>0</v>
      </c>
      <c r="J124" t="n">
        <v>0</v>
      </c>
      <c r="K124" t="n">
        <v>12</v>
      </c>
      <c r="L124" t="n">
        <v>111</v>
      </c>
      <c r="M124" t="n">
        <v>0</v>
      </c>
      <c r="N124" t="n">
        <v>1281500</v>
      </c>
      <c r="O124" t="n">
        <v>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8</v>
      </c>
      <c r="G125" t="n">
        <v>0</v>
      </c>
      <c r="H125" t="n">
        <v>0</v>
      </c>
      <c r="I125" t="n">
        <v>0</v>
      </c>
      <c r="J125" t="n">
        <v>0</v>
      </c>
      <c r="K125" t="n">
        <v>12</v>
      </c>
      <c r="L125" t="n">
        <v>112</v>
      </c>
      <c r="M125" t="n">
        <v>0</v>
      </c>
      <c r="N125" t="n">
        <v>1281500</v>
      </c>
      <c r="O125" t="n">
        <v>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125</v>
      </c>
      <c r="M126" t="n">
        <v>0</v>
      </c>
      <c r="N126" t="n">
        <v>1296000</v>
      </c>
      <c r="O126" t="n">
        <v>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126</v>
      </c>
      <c r="M127" t="n">
        <v>0</v>
      </c>
      <c r="N127" t="n">
        <v>1296000</v>
      </c>
      <c r="O127" t="n">
        <v>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112</v>
      </c>
      <c r="M128" t="n">
        <v>15</v>
      </c>
      <c r="N128" t="n">
        <v>1320000</v>
      </c>
      <c r="O128" t="n">
        <v>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8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112</v>
      </c>
      <c r="M129" t="n">
        <v>16</v>
      </c>
      <c r="N129" t="n">
        <v>1320000</v>
      </c>
      <c r="O129" t="n">
        <v>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7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98</v>
      </c>
      <c r="M130" t="n">
        <v>31</v>
      </c>
      <c r="N130" t="n">
        <v>1344000</v>
      </c>
      <c r="O130" t="n">
        <v>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7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98</v>
      </c>
      <c r="M131" t="n">
        <v>32</v>
      </c>
      <c r="N131" t="n">
        <v>1344000</v>
      </c>
      <c r="O131" t="n">
        <v>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6</v>
      </c>
      <c r="G132" t="n">
        <v>3</v>
      </c>
      <c r="H132" t="n">
        <v>0</v>
      </c>
      <c r="I132" t="n">
        <v>0</v>
      </c>
      <c r="J132" t="n">
        <v>0</v>
      </c>
      <c r="K132" t="n">
        <v>0</v>
      </c>
      <c r="L132" t="n">
        <v>84</v>
      </c>
      <c r="M132" t="n">
        <v>47</v>
      </c>
      <c r="N132" t="n">
        <v>1368000</v>
      </c>
      <c r="O132" t="n">
        <v>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6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84</v>
      </c>
      <c r="M133" t="n">
        <v>48</v>
      </c>
      <c r="N133" t="n">
        <v>1368000</v>
      </c>
      <c r="O133" t="n">
        <v>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5</v>
      </c>
      <c r="G134" t="n">
        <v>4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n">
        <v>63</v>
      </c>
      <c r="N134" t="n">
        <v>1392000</v>
      </c>
      <c r="O134" t="n">
        <v>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5</v>
      </c>
      <c r="G135" t="n">
        <v>4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n">
        <v>64</v>
      </c>
      <c r="N135" t="n">
        <v>1392000</v>
      </c>
      <c r="O135" t="n">
        <v>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2</v>
      </c>
      <c r="F136" t="n">
        <v>8</v>
      </c>
      <c r="G136" t="n">
        <v>0</v>
      </c>
      <c r="H136" t="n">
        <v>0</v>
      </c>
      <c r="I136" t="n">
        <v>0</v>
      </c>
      <c r="J136" t="n">
        <v>0</v>
      </c>
      <c r="K136" t="n">
        <v>24</v>
      </c>
      <c r="L136" t="n">
        <v>111</v>
      </c>
      <c r="M136" t="n">
        <v>0</v>
      </c>
      <c r="N136" t="n">
        <v>1411000</v>
      </c>
      <c r="O136" t="n">
        <v>10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2</v>
      </c>
      <c r="F137" t="n">
        <v>8</v>
      </c>
      <c r="G137" t="n">
        <v>0</v>
      </c>
      <c r="H137" t="n">
        <v>0</v>
      </c>
      <c r="I137" t="n">
        <v>0</v>
      </c>
      <c r="J137" t="n">
        <v>0</v>
      </c>
      <c r="K137" t="n">
        <v>24</v>
      </c>
      <c r="L137" t="n">
        <v>112</v>
      </c>
      <c r="M137" t="n">
        <v>0</v>
      </c>
      <c r="N137" t="n">
        <v>1411000</v>
      </c>
      <c r="O137" t="n">
        <v>10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9</v>
      </c>
      <c r="G138" t="n">
        <v>0</v>
      </c>
      <c r="H138" t="n">
        <v>0</v>
      </c>
      <c r="I138" t="n">
        <v>0</v>
      </c>
      <c r="J138" t="n">
        <v>0</v>
      </c>
      <c r="K138" t="n">
        <v>12</v>
      </c>
      <c r="L138" t="n">
        <v>125</v>
      </c>
      <c r="M138" t="n">
        <v>0</v>
      </c>
      <c r="N138" t="n">
        <v>1425500</v>
      </c>
      <c r="O138" t="n">
        <v>10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9</v>
      </c>
      <c r="G139" t="n">
        <v>0</v>
      </c>
      <c r="H139" t="n">
        <v>0</v>
      </c>
      <c r="I139" t="n">
        <v>0</v>
      </c>
      <c r="J139" t="n">
        <v>0</v>
      </c>
      <c r="K139" t="n">
        <v>12</v>
      </c>
      <c r="L139" t="n">
        <v>126</v>
      </c>
      <c r="M139" t="n">
        <v>0</v>
      </c>
      <c r="N139" t="n">
        <v>1425500</v>
      </c>
      <c r="O139" t="n">
        <v>10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139</v>
      </c>
      <c r="M140" t="n">
        <v>0</v>
      </c>
      <c r="N140" t="n">
        <v>1440000</v>
      </c>
      <c r="O140" t="n">
        <v>10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140</v>
      </c>
      <c r="M141" t="n">
        <v>0</v>
      </c>
      <c r="N141" t="n">
        <v>1440000</v>
      </c>
      <c r="O141" t="n">
        <v>10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9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126</v>
      </c>
      <c r="M142" t="n">
        <v>15</v>
      </c>
      <c r="N142" t="n">
        <v>1464000</v>
      </c>
      <c r="O142" t="n">
        <v>10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9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126</v>
      </c>
      <c r="M143" t="n">
        <v>16</v>
      </c>
      <c r="N143" t="n">
        <v>1464000</v>
      </c>
      <c r="O143" t="n">
        <v>10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8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112</v>
      </c>
      <c r="M144" t="n">
        <v>31</v>
      </c>
      <c r="N144" t="n">
        <v>1488000</v>
      </c>
      <c r="O144" t="n">
        <v>10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8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112</v>
      </c>
      <c r="M145" t="n">
        <v>32</v>
      </c>
      <c r="N145" t="n">
        <v>1488000</v>
      </c>
      <c r="O145" t="n">
        <v>10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7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98</v>
      </c>
      <c r="M146" t="n">
        <v>47</v>
      </c>
      <c r="N146" t="n">
        <v>1512000</v>
      </c>
      <c r="O146" t="n">
        <v>10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7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98</v>
      </c>
      <c r="M147" t="n">
        <v>48</v>
      </c>
      <c r="N147" t="n">
        <v>1512000</v>
      </c>
      <c r="O147" t="n">
        <v>10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6</v>
      </c>
      <c r="G148" t="n">
        <v>4</v>
      </c>
      <c r="H148" t="n">
        <v>0</v>
      </c>
      <c r="I148" t="n">
        <v>0</v>
      </c>
      <c r="J148" t="n">
        <v>0</v>
      </c>
      <c r="K148" t="n">
        <v>0</v>
      </c>
      <c r="L148" t="n">
        <v>84</v>
      </c>
      <c r="M148" t="n">
        <v>63</v>
      </c>
      <c r="N148" t="n">
        <v>1536000</v>
      </c>
      <c r="O148" t="n">
        <v>10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6</v>
      </c>
      <c r="G149" t="n">
        <v>4</v>
      </c>
      <c r="H149" t="n">
        <v>0</v>
      </c>
      <c r="I149" t="n">
        <v>0</v>
      </c>
      <c r="J149" t="n">
        <v>0</v>
      </c>
      <c r="K149" t="n">
        <v>0</v>
      </c>
      <c r="L149" t="n">
        <v>84</v>
      </c>
      <c r="M149" t="n">
        <v>64</v>
      </c>
      <c r="N149" t="n">
        <v>1536000</v>
      </c>
      <c r="O149" t="n">
        <v>10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2</v>
      </c>
      <c r="F150" t="n">
        <v>9</v>
      </c>
      <c r="G150" t="n">
        <v>0</v>
      </c>
      <c r="H150" t="n">
        <v>0</v>
      </c>
      <c r="I150" t="n">
        <v>0</v>
      </c>
      <c r="J150" t="n">
        <v>0</v>
      </c>
      <c r="K150" t="n">
        <v>24</v>
      </c>
      <c r="L150" t="n">
        <v>125</v>
      </c>
      <c r="M150" t="n">
        <v>0</v>
      </c>
      <c r="N150" t="n">
        <v>1555000</v>
      </c>
      <c r="O150" t="n">
        <v>11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2</v>
      </c>
      <c r="F151" t="n">
        <v>9</v>
      </c>
      <c r="G151" t="n">
        <v>0</v>
      </c>
      <c r="H151" t="n">
        <v>0</v>
      </c>
      <c r="I151" t="n">
        <v>0</v>
      </c>
      <c r="J151" t="n">
        <v>0</v>
      </c>
      <c r="K151" t="n">
        <v>24</v>
      </c>
      <c r="L151" t="n">
        <v>126</v>
      </c>
      <c r="M151" t="n">
        <v>0</v>
      </c>
      <c r="N151" t="n">
        <v>1555000</v>
      </c>
      <c r="O151" t="n">
        <v>11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10</v>
      </c>
      <c r="G152" t="n">
        <v>0</v>
      </c>
      <c r="H152" t="n">
        <v>0</v>
      </c>
      <c r="I152" t="n">
        <v>0</v>
      </c>
      <c r="J152" t="n">
        <v>0</v>
      </c>
      <c r="K152" t="n">
        <v>12</v>
      </c>
      <c r="L152" t="n">
        <v>139</v>
      </c>
      <c r="M152" t="n">
        <v>0</v>
      </c>
      <c r="N152" t="n">
        <v>1569500</v>
      </c>
      <c r="O152" t="n">
        <v>11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10</v>
      </c>
      <c r="G153" t="n">
        <v>0</v>
      </c>
      <c r="H153" t="n">
        <v>0</v>
      </c>
      <c r="I153" t="n">
        <v>0</v>
      </c>
      <c r="J153" t="n">
        <v>0</v>
      </c>
      <c r="K153" t="n">
        <v>12</v>
      </c>
      <c r="L153" t="n">
        <v>140</v>
      </c>
      <c r="M153" t="n">
        <v>0</v>
      </c>
      <c r="N153" t="n">
        <v>1569500</v>
      </c>
      <c r="O153" t="n">
        <v>11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153</v>
      </c>
      <c r="M154" t="n">
        <v>0</v>
      </c>
      <c r="N154" t="n">
        <v>1584000</v>
      </c>
      <c r="O154" t="n">
        <v>11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154</v>
      </c>
      <c r="M155" t="n">
        <v>0</v>
      </c>
      <c r="N155" t="n">
        <v>1584000</v>
      </c>
      <c r="O155" t="n">
        <v>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140</v>
      </c>
      <c r="M156" t="n">
        <v>15</v>
      </c>
      <c r="N156" t="n">
        <v>1608000</v>
      </c>
      <c r="O156" t="n">
        <v>11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140</v>
      </c>
      <c r="M157" t="n">
        <v>16</v>
      </c>
      <c r="N157" t="n">
        <v>1608000</v>
      </c>
      <c r="O157" t="n">
        <v>11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9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126</v>
      </c>
      <c r="M158" t="n">
        <v>31</v>
      </c>
      <c r="N158" t="n">
        <v>1632000</v>
      </c>
      <c r="O158" t="n">
        <v>11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9</v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126</v>
      </c>
      <c r="M159" t="n">
        <v>32</v>
      </c>
      <c r="N159" t="n">
        <v>1632000</v>
      </c>
      <c r="O159" t="n">
        <v>11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8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112</v>
      </c>
      <c r="M160" t="n">
        <v>47</v>
      </c>
      <c r="N160" t="n">
        <v>1656000</v>
      </c>
      <c r="O160" t="n">
        <v>11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8</v>
      </c>
      <c r="G161" t="n">
        <v>3</v>
      </c>
      <c r="H161" t="n">
        <v>0</v>
      </c>
      <c r="I161" t="n">
        <v>0</v>
      </c>
      <c r="J161" t="n">
        <v>0</v>
      </c>
      <c r="K161" t="n">
        <v>0</v>
      </c>
      <c r="L161" t="n">
        <v>112</v>
      </c>
      <c r="M161" t="n">
        <v>48</v>
      </c>
      <c r="N161" t="n">
        <v>1656000</v>
      </c>
      <c r="O161" t="n">
        <v>11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7</v>
      </c>
      <c r="G162" t="n">
        <v>4</v>
      </c>
      <c r="H162" t="n">
        <v>0</v>
      </c>
      <c r="I162" t="n">
        <v>0</v>
      </c>
      <c r="J162" t="n">
        <v>0</v>
      </c>
      <c r="K162" t="n">
        <v>0</v>
      </c>
      <c r="L162" t="n">
        <v>98</v>
      </c>
      <c r="M162" t="n">
        <v>63</v>
      </c>
      <c r="N162" t="n">
        <v>1680000</v>
      </c>
      <c r="O162" t="n">
        <v>11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7</v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98</v>
      </c>
      <c r="M163" t="n">
        <v>64</v>
      </c>
      <c r="N163" t="n">
        <v>1680000</v>
      </c>
      <c r="O163" t="n">
        <v>11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2</v>
      </c>
      <c r="F164" t="n">
        <v>10</v>
      </c>
      <c r="G164" t="n">
        <v>0</v>
      </c>
      <c r="H164" t="n">
        <v>0</v>
      </c>
      <c r="I164" t="n">
        <v>0</v>
      </c>
      <c r="J164" t="n">
        <v>0</v>
      </c>
      <c r="K164" t="n">
        <v>24</v>
      </c>
      <c r="L164" t="n">
        <v>139</v>
      </c>
      <c r="M164" t="n">
        <v>0</v>
      </c>
      <c r="N164" t="n">
        <v>1699000</v>
      </c>
      <c r="O164" t="n">
        <v>12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2</v>
      </c>
      <c r="F165" t="n">
        <v>10</v>
      </c>
      <c r="G165" t="n">
        <v>0</v>
      </c>
      <c r="H165" t="n">
        <v>0</v>
      </c>
      <c r="I165" t="n">
        <v>0</v>
      </c>
      <c r="J165" t="n">
        <v>0</v>
      </c>
      <c r="K165" t="n">
        <v>24</v>
      </c>
      <c r="L165" t="n">
        <v>140</v>
      </c>
      <c r="M165" t="n">
        <v>0</v>
      </c>
      <c r="N165" t="n">
        <v>1699000</v>
      </c>
      <c r="O165" t="n">
        <v>12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11</v>
      </c>
      <c r="G166" t="n">
        <v>0</v>
      </c>
      <c r="H166" t="n">
        <v>0</v>
      </c>
      <c r="I166" t="n">
        <v>0</v>
      </c>
      <c r="J166" t="n">
        <v>0</v>
      </c>
      <c r="K166" t="n">
        <v>12</v>
      </c>
      <c r="L166" t="n">
        <v>153</v>
      </c>
      <c r="M166" t="n">
        <v>0</v>
      </c>
      <c r="N166" t="n">
        <v>1713500</v>
      </c>
      <c r="O166" t="n">
        <v>12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11</v>
      </c>
      <c r="G167" t="n">
        <v>0</v>
      </c>
      <c r="H167" t="n">
        <v>0</v>
      </c>
      <c r="I167" t="n">
        <v>0</v>
      </c>
      <c r="J167" t="n">
        <v>0</v>
      </c>
      <c r="K167" t="n">
        <v>12</v>
      </c>
      <c r="L167" t="n">
        <v>154</v>
      </c>
      <c r="M167" t="n">
        <v>0</v>
      </c>
      <c r="N167" t="n">
        <v>1713500</v>
      </c>
      <c r="O167" t="n">
        <v>12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167</v>
      </c>
      <c r="M168" t="n">
        <v>0</v>
      </c>
      <c r="N168" t="n">
        <v>1728000</v>
      </c>
      <c r="O168" t="n">
        <v>12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168</v>
      </c>
      <c r="M169" t="n">
        <v>0</v>
      </c>
      <c r="N169" t="n">
        <v>1728000</v>
      </c>
      <c r="O169" t="n">
        <v>12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154</v>
      </c>
      <c r="M170" t="n">
        <v>15</v>
      </c>
      <c r="N170" t="n">
        <v>1752000</v>
      </c>
      <c r="O170" t="n">
        <v>12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154</v>
      </c>
      <c r="M171" t="n">
        <v>16</v>
      </c>
      <c r="N171" t="n">
        <v>1752000</v>
      </c>
      <c r="O171" t="n">
        <v>12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10</v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140</v>
      </c>
      <c r="M172" t="n">
        <v>31</v>
      </c>
      <c r="N172" t="n">
        <v>1776000</v>
      </c>
      <c r="O172" t="n">
        <v>12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10</v>
      </c>
      <c r="G173" t="n">
        <v>2</v>
      </c>
      <c r="H173" t="n">
        <v>0</v>
      </c>
      <c r="I173" t="n">
        <v>0</v>
      </c>
      <c r="J173" t="n">
        <v>0</v>
      </c>
      <c r="K173" t="n">
        <v>0</v>
      </c>
      <c r="L173" t="n">
        <v>140</v>
      </c>
      <c r="M173" t="n">
        <v>32</v>
      </c>
      <c r="N173" t="n">
        <v>1776000</v>
      </c>
      <c r="O173" t="n">
        <v>12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9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126</v>
      </c>
      <c r="M174" t="n">
        <v>47</v>
      </c>
      <c r="N174" t="n">
        <v>1800000</v>
      </c>
      <c r="O174" t="n">
        <v>12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9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126</v>
      </c>
      <c r="M175" t="n">
        <v>48</v>
      </c>
      <c r="N175" t="n">
        <v>1800000</v>
      </c>
      <c r="O175" t="n">
        <v>12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8</v>
      </c>
      <c r="G176" t="n">
        <v>4</v>
      </c>
      <c r="H176" t="n">
        <v>0</v>
      </c>
      <c r="I176" t="n">
        <v>0</v>
      </c>
      <c r="J176" t="n">
        <v>0</v>
      </c>
      <c r="K176" t="n">
        <v>0</v>
      </c>
      <c r="L176" t="n">
        <v>112</v>
      </c>
      <c r="M176" t="n">
        <v>63</v>
      </c>
      <c r="N176" t="n">
        <v>1824000</v>
      </c>
      <c r="O176" t="n">
        <v>12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8</v>
      </c>
      <c r="G177" t="n">
        <v>4</v>
      </c>
      <c r="H177" t="n">
        <v>0</v>
      </c>
      <c r="I177" t="n">
        <v>0</v>
      </c>
      <c r="J177" t="n">
        <v>0</v>
      </c>
      <c r="K177" t="n">
        <v>0</v>
      </c>
      <c r="L177" t="n">
        <v>112</v>
      </c>
      <c r="M177" t="n">
        <v>64</v>
      </c>
      <c r="N177" t="n">
        <v>1824000</v>
      </c>
      <c r="O177" t="n">
        <v>12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2</v>
      </c>
      <c r="F178" t="n">
        <v>11</v>
      </c>
      <c r="G178" t="n">
        <v>0</v>
      </c>
      <c r="H178" t="n">
        <v>0</v>
      </c>
      <c r="I178" t="n">
        <v>0</v>
      </c>
      <c r="J178" t="n">
        <v>0</v>
      </c>
      <c r="K178" t="n">
        <v>24</v>
      </c>
      <c r="L178" t="n">
        <v>153</v>
      </c>
      <c r="M178" t="n">
        <v>0</v>
      </c>
      <c r="N178" t="n">
        <v>1843000</v>
      </c>
      <c r="O178" t="n">
        <v>13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2</v>
      </c>
      <c r="F179" t="n">
        <v>11</v>
      </c>
      <c r="G179" t="n">
        <v>0</v>
      </c>
      <c r="H179" t="n">
        <v>0</v>
      </c>
      <c r="I179" t="n">
        <v>0</v>
      </c>
      <c r="J179" t="n">
        <v>0</v>
      </c>
      <c r="K179" t="n">
        <v>24</v>
      </c>
      <c r="L179" t="n">
        <v>154</v>
      </c>
      <c r="M179" t="n">
        <v>0</v>
      </c>
      <c r="N179" t="n">
        <v>1843000</v>
      </c>
      <c r="O179" t="n">
        <v>13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12</v>
      </c>
      <c r="G180" t="n">
        <v>0</v>
      </c>
      <c r="H180" t="n">
        <v>0</v>
      </c>
      <c r="I180" t="n">
        <v>0</v>
      </c>
      <c r="J180" t="n">
        <v>0</v>
      </c>
      <c r="K180" t="n">
        <v>12</v>
      </c>
      <c r="L180" t="n">
        <v>167</v>
      </c>
      <c r="M180" t="n">
        <v>0</v>
      </c>
      <c r="N180" t="n">
        <v>1857500</v>
      </c>
      <c r="O180" t="n">
        <v>13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12</v>
      </c>
      <c r="G181" t="n">
        <v>0</v>
      </c>
      <c r="H181" t="n">
        <v>0</v>
      </c>
      <c r="I181" t="n">
        <v>0</v>
      </c>
      <c r="J181" t="n">
        <v>0</v>
      </c>
      <c r="K181" t="n">
        <v>12</v>
      </c>
      <c r="L181" t="n">
        <v>168</v>
      </c>
      <c r="M181" t="n">
        <v>0</v>
      </c>
      <c r="N181" t="n">
        <v>1857500</v>
      </c>
      <c r="O181" t="n">
        <v>13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181</v>
      </c>
      <c r="M182" t="n">
        <v>0</v>
      </c>
      <c r="N182" t="n">
        <v>1872000</v>
      </c>
      <c r="O182" t="n">
        <v>13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182</v>
      </c>
      <c r="M183" t="n">
        <v>0</v>
      </c>
      <c r="N183" t="n">
        <v>1872000</v>
      </c>
      <c r="O183" t="n">
        <v>13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168</v>
      </c>
      <c r="M184" t="n">
        <v>15</v>
      </c>
      <c r="N184" t="n">
        <v>1896000</v>
      </c>
      <c r="O184" t="n">
        <v>13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12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168</v>
      </c>
      <c r="M185" t="n">
        <v>16</v>
      </c>
      <c r="N185" t="n">
        <v>1896000</v>
      </c>
      <c r="O185" t="n">
        <v>13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11</v>
      </c>
      <c r="G186" t="n">
        <v>2</v>
      </c>
      <c r="H186" t="n">
        <v>0</v>
      </c>
      <c r="I186" t="n">
        <v>0</v>
      </c>
      <c r="J186" t="n">
        <v>0</v>
      </c>
      <c r="K186" t="n">
        <v>0</v>
      </c>
      <c r="L186" t="n">
        <v>154</v>
      </c>
      <c r="M186" t="n">
        <v>31</v>
      </c>
      <c r="N186" t="n">
        <v>1920000</v>
      </c>
      <c r="O186" t="n">
        <v>13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11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154</v>
      </c>
      <c r="M187" t="n">
        <v>32</v>
      </c>
      <c r="N187" t="n">
        <v>1920000</v>
      </c>
      <c r="O187" t="n">
        <v>13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10</v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140</v>
      </c>
      <c r="M188" t="n">
        <v>47</v>
      </c>
      <c r="N188" t="n">
        <v>1944000</v>
      </c>
      <c r="O188" t="n">
        <v>13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10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140</v>
      </c>
      <c r="M189" t="n">
        <v>48</v>
      </c>
      <c r="N189" t="n">
        <v>1944000</v>
      </c>
      <c r="O189" t="n">
        <v>13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9</v>
      </c>
      <c r="G190" t="n">
        <v>4</v>
      </c>
      <c r="H190" t="n">
        <v>0</v>
      </c>
      <c r="I190" t="n">
        <v>0</v>
      </c>
      <c r="J190" t="n">
        <v>0</v>
      </c>
      <c r="K190" t="n">
        <v>0</v>
      </c>
      <c r="L190" t="n">
        <v>126</v>
      </c>
      <c r="M190" t="n">
        <v>63</v>
      </c>
      <c r="N190" t="n">
        <v>1968000</v>
      </c>
      <c r="O190" t="n">
        <v>13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9</v>
      </c>
      <c r="G191" t="n">
        <v>4</v>
      </c>
      <c r="H191" t="n">
        <v>0</v>
      </c>
      <c r="I191" t="n">
        <v>0</v>
      </c>
      <c r="J191" t="n">
        <v>0</v>
      </c>
      <c r="K191" t="n">
        <v>0</v>
      </c>
      <c r="L191" t="n">
        <v>126</v>
      </c>
      <c r="M191" t="n">
        <v>64</v>
      </c>
      <c r="N191" t="n">
        <v>1968000</v>
      </c>
      <c r="O191" t="n">
        <v>13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2</v>
      </c>
      <c r="F192" t="n">
        <v>12</v>
      </c>
      <c r="G192" t="n">
        <v>0</v>
      </c>
      <c r="H192" t="n">
        <v>0</v>
      </c>
      <c r="I192" t="n">
        <v>0</v>
      </c>
      <c r="J192" t="n">
        <v>0</v>
      </c>
      <c r="K192" t="n">
        <v>24</v>
      </c>
      <c r="L192" t="n">
        <v>167</v>
      </c>
      <c r="M192" t="n">
        <v>0</v>
      </c>
      <c r="N192" t="n">
        <v>1987000</v>
      </c>
      <c r="O192" t="n">
        <v>14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2</v>
      </c>
      <c r="F193" t="n">
        <v>12</v>
      </c>
      <c r="G193" t="n">
        <v>0</v>
      </c>
      <c r="H193" t="n">
        <v>0</v>
      </c>
      <c r="I193" t="n">
        <v>0</v>
      </c>
      <c r="J193" t="n">
        <v>0</v>
      </c>
      <c r="K193" t="n">
        <v>24</v>
      </c>
      <c r="L193" t="n">
        <v>168</v>
      </c>
      <c r="M193" t="n">
        <v>0</v>
      </c>
      <c r="N193" t="n">
        <v>1987000</v>
      </c>
      <c r="O193" t="n">
        <v>14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13</v>
      </c>
      <c r="G194" t="n">
        <v>0</v>
      </c>
      <c r="H194" t="n">
        <v>0</v>
      </c>
      <c r="I194" t="n">
        <v>0</v>
      </c>
      <c r="J194" t="n">
        <v>0</v>
      </c>
      <c r="K194" t="n">
        <v>12</v>
      </c>
      <c r="L194" t="n">
        <v>181</v>
      </c>
      <c r="M194" t="n">
        <v>0</v>
      </c>
      <c r="N194" t="n">
        <v>2001500</v>
      </c>
      <c r="O194" t="n">
        <v>14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13</v>
      </c>
      <c r="G195" t="n">
        <v>0</v>
      </c>
      <c r="H195" t="n">
        <v>0</v>
      </c>
      <c r="I195" t="n">
        <v>0</v>
      </c>
      <c r="J195" t="n">
        <v>0</v>
      </c>
      <c r="K195" t="n">
        <v>12</v>
      </c>
      <c r="L195" t="n">
        <v>182</v>
      </c>
      <c r="M195" t="n">
        <v>0</v>
      </c>
      <c r="N195" t="n">
        <v>2001500</v>
      </c>
      <c r="O195" t="n">
        <v>14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195</v>
      </c>
      <c r="M196" t="n">
        <v>0</v>
      </c>
      <c r="N196" t="n">
        <v>2016000</v>
      </c>
      <c r="O196" t="n">
        <v>14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196</v>
      </c>
      <c r="M197" t="n">
        <v>0</v>
      </c>
      <c r="N197" t="n">
        <v>2016000</v>
      </c>
      <c r="O197" t="n">
        <v>14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13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182</v>
      </c>
      <c r="M198" t="n">
        <v>15</v>
      </c>
      <c r="N198" t="n">
        <v>2040000</v>
      </c>
      <c r="O198" t="n">
        <v>14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13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182</v>
      </c>
      <c r="M199" t="n">
        <v>16</v>
      </c>
      <c r="N199" t="n">
        <v>2040000</v>
      </c>
      <c r="O199" t="n">
        <v>14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12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168</v>
      </c>
      <c r="M200" t="n">
        <v>31</v>
      </c>
      <c r="N200" t="n">
        <v>2064000</v>
      </c>
      <c r="O200" t="n">
        <v>14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12</v>
      </c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n">
        <v>168</v>
      </c>
      <c r="M201" t="n">
        <v>32</v>
      </c>
      <c r="N201" t="n">
        <v>2064000</v>
      </c>
      <c r="O20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파렛트수</t>
        </is>
      </c>
      <c r="B1" t="inlineStr">
        <is>
          <t>트럭1_종류</t>
        </is>
      </c>
      <c r="C1" t="inlineStr">
        <is>
          <t>트럭1_적재P</t>
        </is>
      </c>
      <c r="D1" t="inlineStr">
        <is>
          <t>트럭2_종류</t>
        </is>
      </c>
      <c r="E1" t="inlineStr">
        <is>
          <t>트럭2_적재P</t>
        </is>
      </c>
      <c r="F1" t="inlineStr">
        <is>
          <t>트럭3_종류</t>
        </is>
      </c>
      <c r="G1" t="inlineStr">
        <is>
          <t>트럭3_적재P</t>
        </is>
      </c>
      <c r="H1" t="inlineStr">
        <is>
          <t>트럭4_종류</t>
        </is>
      </c>
      <c r="I1" t="inlineStr">
        <is>
          <t>트럭4_적재P</t>
        </is>
      </c>
      <c r="J1" t="inlineStr">
        <is>
          <t>트럭5_종류</t>
        </is>
      </c>
      <c r="K1" t="inlineStr">
        <is>
          <t>트럭5_적재P</t>
        </is>
      </c>
      <c r="L1" t="inlineStr">
        <is>
          <t>트럭6_종류</t>
        </is>
      </c>
      <c r="M1" t="inlineStr">
        <is>
          <t>트럭6_적재P</t>
        </is>
      </c>
      <c r="N1" t="inlineStr">
        <is>
          <t>트럭7_종류</t>
        </is>
      </c>
      <c r="O1" t="inlineStr">
        <is>
          <t>트럭7_적재P</t>
        </is>
      </c>
      <c r="P1" t="inlineStr">
        <is>
          <t>트럭8_종류</t>
        </is>
      </c>
      <c r="Q1" t="inlineStr">
        <is>
          <t>트럭8_적재P</t>
        </is>
      </c>
      <c r="R1" t="inlineStr">
        <is>
          <t>트럭9_종류</t>
        </is>
      </c>
      <c r="S1" t="inlineStr">
        <is>
          <t>트럭9_적재P</t>
        </is>
      </c>
      <c r="T1" t="inlineStr">
        <is>
          <t>트럭10_종류</t>
        </is>
      </c>
      <c r="U1" t="inlineStr">
        <is>
          <t>트럭10_적재P</t>
        </is>
      </c>
      <c r="V1" t="inlineStr">
        <is>
          <t>트럭11_종류</t>
        </is>
      </c>
      <c r="W1" t="inlineStr">
        <is>
          <t>트럭11_적재P</t>
        </is>
      </c>
      <c r="X1" t="inlineStr">
        <is>
          <t>트럭12_종류</t>
        </is>
      </c>
      <c r="Y1" t="inlineStr">
        <is>
          <t>트럭12_적재P</t>
        </is>
      </c>
      <c r="Z1" t="inlineStr">
        <is>
          <t>트럭13_종류</t>
        </is>
      </c>
      <c r="AA1" t="inlineStr">
        <is>
          <t>트럭13_적재P</t>
        </is>
      </c>
      <c r="AB1" t="inlineStr">
        <is>
          <t>트럭14_종류</t>
        </is>
      </c>
      <c r="AC1" t="inlineStr">
        <is>
          <t>트럭14_적재P</t>
        </is>
      </c>
      <c r="AD1" t="inlineStr">
        <is>
          <t>트럭15_종류</t>
        </is>
      </c>
      <c r="AE1" t="inlineStr">
        <is>
          <t>트럭15_적재P</t>
        </is>
      </c>
    </row>
    <row r="2">
      <c r="A2" t="n">
        <v>1</v>
      </c>
      <c r="B2" t="inlineStr">
        <is>
          <t>1톤</t>
        </is>
      </c>
      <c r="C2" t="n">
        <v>1</v>
      </c>
    </row>
    <row r="3">
      <c r="A3" t="n">
        <v>2</v>
      </c>
      <c r="B3" t="inlineStr">
        <is>
          <t>1톤</t>
        </is>
      </c>
      <c r="C3" t="n">
        <v>2</v>
      </c>
    </row>
    <row r="4">
      <c r="A4" t="n">
        <v>3</v>
      </c>
      <c r="B4" t="inlineStr">
        <is>
          <t>2.5톤</t>
        </is>
      </c>
      <c r="C4" t="n">
        <v>3</v>
      </c>
    </row>
    <row r="5">
      <c r="A5" t="n">
        <v>4</v>
      </c>
      <c r="B5" t="inlineStr">
        <is>
          <t>3.5톤</t>
        </is>
      </c>
      <c r="C5" t="n">
        <v>4</v>
      </c>
    </row>
    <row r="6">
      <c r="A6" t="n">
        <v>5</v>
      </c>
      <c r="B6" t="inlineStr">
        <is>
          <t>5톤</t>
        </is>
      </c>
      <c r="C6" t="n">
        <v>5</v>
      </c>
    </row>
    <row r="7">
      <c r="A7" t="n">
        <v>6</v>
      </c>
      <c r="B7" t="inlineStr">
        <is>
          <t>5톤</t>
        </is>
      </c>
      <c r="C7" t="n">
        <v>6</v>
      </c>
    </row>
    <row r="8">
      <c r="A8" t="n">
        <v>7</v>
      </c>
      <c r="B8" t="inlineStr">
        <is>
          <t>5톤</t>
        </is>
      </c>
      <c r="C8" t="n">
        <v>7</v>
      </c>
    </row>
    <row r="9">
      <c r="A9" t="n">
        <v>8</v>
      </c>
      <c r="B9" t="inlineStr">
        <is>
          <t>5톤</t>
        </is>
      </c>
      <c r="C9" t="n">
        <v>8</v>
      </c>
    </row>
    <row r="10">
      <c r="A10" t="n">
        <v>9</v>
      </c>
      <c r="B10" t="inlineStr">
        <is>
          <t>5톤</t>
        </is>
      </c>
      <c r="C10" t="n">
        <v>9</v>
      </c>
    </row>
    <row r="11">
      <c r="A11" t="n">
        <v>10</v>
      </c>
      <c r="B11" t="inlineStr">
        <is>
          <t>5톤</t>
        </is>
      </c>
      <c r="C11" t="n">
        <v>10</v>
      </c>
    </row>
    <row r="12">
      <c r="A12" t="n">
        <v>11</v>
      </c>
      <c r="B12" t="inlineStr">
        <is>
          <t>5톤</t>
        </is>
      </c>
      <c r="C12" t="n">
        <v>11</v>
      </c>
    </row>
    <row r="13">
      <c r="A13" t="n">
        <v>12</v>
      </c>
      <c r="B13" t="inlineStr">
        <is>
          <t>5톤</t>
        </is>
      </c>
      <c r="C13" t="n">
        <v>12</v>
      </c>
    </row>
    <row r="14">
      <c r="A14" t="n">
        <v>13</v>
      </c>
      <c r="B14" t="inlineStr">
        <is>
          <t>8톤</t>
        </is>
      </c>
      <c r="C14" t="n">
        <v>13</v>
      </c>
    </row>
    <row r="15">
      <c r="A15" t="n">
        <v>14</v>
      </c>
      <c r="B15" t="inlineStr">
        <is>
          <t>8톤</t>
        </is>
      </c>
      <c r="C15" t="n">
        <v>14</v>
      </c>
    </row>
    <row r="16">
      <c r="A16" t="n">
        <v>15</v>
      </c>
      <c r="B16" t="inlineStr">
        <is>
          <t>11톤</t>
        </is>
      </c>
      <c r="C16" t="n">
        <v>15</v>
      </c>
    </row>
    <row r="17">
      <c r="A17" t="n">
        <v>16</v>
      </c>
      <c r="B17" t="inlineStr">
        <is>
          <t>11톤</t>
        </is>
      </c>
      <c r="C17" t="n">
        <v>16</v>
      </c>
    </row>
    <row r="18">
      <c r="A18" t="n">
        <v>17</v>
      </c>
      <c r="B18" t="inlineStr">
        <is>
          <t>8톤</t>
        </is>
      </c>
      <c r="C18" t="n">
        <v>14</v>
      </c>
      <c r="D18" t="inlineStr">
        <is>
          <t>2.5톤</t>
        </is>
      </c>
      <c r="E18" t="n">
        <v>3</v>
      </c>
    </row>
    <row r="19">
      <c r="A19" t="n">
        <v>18</v>
      </c>
      <c r="B19" t="inlineStr">
        <is>
          <t>11톤</t>
        </is>
      </c>
      <c r="C19" t="n">
        <v>16</v>
      </c>
      <c r="D19" t="inlineStr">
        <is>
          <t>1톤</t>
        </is>
      </c>
      <c r="E19" t="n">
        <v>2</v>
      </c>
    </row>
    <row r="20">
      <c r="A20" t="n">
        <v>19</v>
      </c>
      <c r="B20" t="inlineStr">
        <is>
          <t>5톤</t>
        </is>
      </c>
      <c r="C20" t="n">
        <v>12</v>
      </c>
      <c r="D20" t="inlineStr">
        <is>
          <t>5톤</t>
        </is>
      </c>
      <c r="E20" t="n">
        <v>7</v>
      </c>
    </row>
    <row r="21">
      <c r="A21" t="n">
        <v>20</v>
      </c>
      <c r="B21" t="inlineStr">
        <is>
          <t>5톤</t>
        </is>
      </c>
      <c r="C21" t="n">
        <v>12</v>
      </c>
      <c r="D21" t="inlineStr">
        <is>
          <t>5톤</t>
        </is>
      </c>
      <c r="E21" t="n">
        <v>8</v>
      </c>
    </row>
    <row r="22">
      <c r="A22" t="n">
        <v>21</v>
      </c>
      <c r="B22" t="inlineStr">
        <is>
          <t>5톤</t>
        </is>
      </c>
      <c r="C22" t="n">
        <v>12</v>
      </c>
      <c r="D22" t="inlineStr">
        <is>
          <t>5톤</t>
        </is>
      </c>
      <c r="E22" t="n">
        <v>9</v>
      </c>
    </row>
    <row r="23">
      <c r="A23" t="n">
        <v>22</v>
      </c>
      <c r="B23" t="inlineStr">
        <is>
          <t>5톤</t>
        </is>
      </c>
      <c r="C23" t="n">
        <v>12</v>
      </c>
      <c r="D23" t="inlineStr">
        <is>
          <t>5톤</t>
        </is>
      </c>
      <c r="E23" t="n">
        <v>10</v>
      </c>
    </row>
    <row r="24">
      <c r="A24" t="n">
        <v>23</v>
      </c>
      <c r="B24" t="inlineStr">
        <is>
          <t>5톤</t>
        </is>
      </c>
      <c r="C24" t="n">
        <v>12</v>
      </c>
      <c r="D24" t="inlineStr">
        <is>
          <t>5톤</t>
        </is>
      </c>
      <c r="E24" t="n">
        <v>11</v>
      </c>
    </row>
    <row r="25">
      <c r="A25" t="n">
        <v>24</v>
      </c>
      <c r="B25" t="inlineStr">
        <is>
          <t>5톤</t>
        </is>
      </c>
      <c r="C25" t="n">
        <v>12</v>
      </c>
      <c r="D25" t="inlineStr">
        <is>
          <t>5톤</t>
        </is>
      </c>
      <c r="E25" t="n">
        <v>12</v>
      </c>
    </row>
    <row r="26">
      <c r="A26" t="n">
        <v>25</v>
      </c>
      <c r="B26" t="inlineStr">
        <is>
          <t>8톤</t>
        </is>
      </c>
      <c r="C26" t="n">
        <v>13</v>
      </c>
      <c r="D26" t="inlineStr">
        <is>
          <t>5톤</t>
        </is>
      </c>
      <c r="E26" t="n">
        <v>12</v>
      </c>
    </row>
    <row r="27">
      <c r="A27" t="n">
        <v>26</v>
      </c>
      <c r="B27" t="inlineStr">
        <is>
          <t>8톤</t>
        </is>
      </c>
      <c r="C27" t="n">
        <v>14</v>
      </c>
      <c r="D27" t="inlineStr">
        <is>
          <t>5톤</t>
        </is>
      </c>
      <c r="E27" t="n">
        <v>12</v>
      </c>
    </row>
    <row r="28">
      <c r="A28" t="n">
        <v>27</v>
      </c>
      <c r="B28" t="inlineStr">
        <is>
          <t>8톤</t>
        </is>
      </c>
      <c r="C28" t="n">
        <v>14</v>
      </c>
      <c r="D28" t="inlineStr">
        <is>
          <t>8톤</t>
        </is>
      </c>
      <c r="E28" t="n">
        <v>13</v>
      </c>
    </row>
    <row r="29">
      <c r="A29" t="n">
        <v>28</v>
      </c>
      <c r="B29" t="inlineStr">
        <is>
          <t>8톤</t>
        </is>
      </c>
      <c r="C29" t="n">
        <v>14</v>
      </c>
      <c r="D29" t="inlineStr">
        <is>
          <t>8톤</t>
        </is>
      </c>
      <c r="E29" t="n">
        <v>14</v>
      </c>
    </row>
    <row r="30">
      <c r="A30" t="n">
        <v>29</v>
      </c>
      <c r="B30" t="inlineStr">
        <is>
          <t>11톤</t>
        </is>
      </c>
      <c r="C30" t="n">
        <v>15</v>
      </c>
      <c r="D30" t="inlineStr">
        <is>
          <t>8톤</t>
        </is>
      </c>
      <c r="E30" t="n">
        <v>14</v>
      </c>
    </row>
    <row r="31">
      <c r="A31" t="n">
        <v>30</v>
      </c>
      <c r="B31" t="inlineStr">
        <is>
          <t>11톤</t>
        </is>
      </c>
      <c r="C31" t="n">
        <v>16</v>
      </c>
      <c r="D31" t="inlineStr">
        <is>
          <t>8톤</t>
        </is>
      </c>
      <c r="E31" t="n">
        <v>14</v>
      </c>
    </row>
    <row r="32">
      <c r="A32" t="n">
        <v>31</v>
      </c>
      <c r="B32" t="inlineStr">
        <is>
          <t>11톤</t>
        </is>
      </c>
      <c r="C32" t="n">
        <v>16</v>
      </c>
      <c r="D32" t="inlineStr">
        <is>
          <t>11톤</t>
        </is>
      </c>
      <c r="E32" t="n">
        <v>15</v>
      </c>
    </row>
    <row r="33">
      <c r="A33" t="n">
        <v>32</v>
      </c>
      <c r="B33" t="inlineStr">
        <is>
          <t>11톤</t>
        </is>
      </c>
      <c r="C33" t="n">
        <v>16</v>
      </c>
      <c r="D33" t="inlineStr">
        <is>
          <t>11톤</t>
        </is>
      </c>
      <c r="E33" t="n">
        <v>16</v>
      </c>
    </row>
    <row r="34">
      <c r="A34" t="n">
        <v>33</v>
      </c>
      <c r="B34" t="inlineStr">
        <is>
          <t>5톤</t>
        </is>
      </c>
      <c r="C34" t="n">
        <v>12</v>
      </c>
      <c r="D34" t="inlineStr">
        <is>
          <t>5톤</t>
        </is>
      </c>
      <c r="E34" t="n">
        <v>12</v>
      </c>
      <c r="F34" t="inlineStr">
        <is>
          <t>5톤</t>
        </is>
      </c>
      <c r="G34" t="n">
        <v>9</v>
      </c>
    </row>
    <row r="35">
      <c r="A35" t="n">
        <v>34</v>
      </c>
      <c r="B35" t="inlineStr">
        <is>
          <t>5톤</t>
        </is>
      </c>
      <c r="C35" t="n">
        <v>12</v>
      </c>
      <c r="D35" t="inlineStr">
        <is>
          <t>5톤</t>
        </is>
      </c>
      <c r="E35" t="n">
        <v>12</v>
      </c>
      <c r="F35" t="inlineStr">
        <is>
          <t>5톤</t>
        </is>
      </c>
      <c r="G35" t="n">
        <v>10</v>
      </c>
    </row>
    <row r="36">
      <c r="A36" t="n">
        <v>35</v>
      </c>
      <c r="B36" t="inlineStr">
        <is>
          <t>5톤</t>
        </is>
      </c>
      <c r="C36" t="n">
        <v>12</v>
      </c>
      <c r="D36" t="inlineStr">
        <is>
          <t>5톤</t>
        </is>
      </c>
      <c r="E36" t="n">
        <v>12</v>
      </c>
      <c r="F36" t="inlineStr">
        <is>
          <t>5톤</t>
        </is>
      </c>
      <c r="G36" t="n">
        <v>11</v>
      </c>
    </row>
    <row r="37">
      <c r="A37" t="n">
        <v>36</v>
      </c>
      <c r="B37" t="inlineStr">
        <is>
          <t>5톤</t>
        </is>
      </c>
      <c r="C37" t="n">
        <v>12</v>
      </c>
      <c r="D37" t="inlineStr">
        <is>
          <t>5톤</t>
        </is>
      </c>
      <c r="E37" t="n">
        <v>12</v>
      </c>
      <c r="F37" t="inlineStr">
        <is>
          <t>5톤</t>
        </is>
      </c>
      <c r="G37" t="n">
        <v>12</v>
      </c>
    </row>
    <row r="38">
      <c r="A38" t="n">
        <v>37</v>
      </c>
      <c r="B38" t="inlineStr">
        <is>
          <t>8톤</t>
        </is>
      </c>
      <c r="C38" t="n">
        <v>13</v>
      </c>
      <c r="D38" t="inlineStr">
        <is>
          <t>5톤</t>
        </is>
      </c>
      <c r="E38" t="n">
        <v>12</v>
      </c>
      <c r="F38" t="inlineStr">
        <is>
          <t>5톤</t>
        </is>
      </c>
      <c r="G38" t="n">
        <v>12</v>
      </c>
    </row>
    <row r="39">
      <c r="A39" t="n">
        <v>38</v>
      </c>
      <c r="B39" t="inlineStr">
        <is>
          <t>8톤</t>
        </is>
      </c>
      <c r="C39" t="n">
        <v>14</v>
      </c>
      <c r="D39" t="inlineStr">
        <is>
          <t>5톤</t>
        </is>
      </c>
      <c r="E39" t="n">
        <v>12</v>
      </c>
      <c r="F39" t="inlineStr">
        <is>
          <t>5톤</t>
        </is>
      </c>
      <c r="G39" t="n">
        <v>12</v>
      </c>
    </row>
    <row r="40">
      <c r="A40" t="n">
        <v>39</v>
      </c>
      <c r="B40" t="inlineStr">
        <is>
          <t>8톤</t>
        </is>
      </c>
      <c r="C40" t="n">
        <v>14</v>
      </c>
      <c r="D40" t="inlineStr">
        <is>
          <t>8톤</t>
        </is>
      </c>
      <c r="E40" t="n">
        <v>13</v>
      </c>
      <c r="F40" t="inlineStr">
        <is>
          <t>5톤</t>
        </is>
      </c>
      <c r="G40" t="n">
        <v>12</v>
      </c>
    </row>
    <row r="41">
      <c r="A41" t="n">
        <v>40</v>
      </c>
      <c r="B41" t="inlineStr">
        <is>
          <t>8톤</t>
        </is>
      </c>
      <c r="C41" t="n">
        <v>14</v>
      </c>
      <c r="D41" t="inlineStr">
        <is>
          <t>8톤</t>
        </is>
      </c>
      <c r="E41" t="n">
        <v>14</v>
      </c>
      <c r="F41" t="inlineStr">
        <is>
          <t>5톤</t>
        </is>
      </c>
      <c r="G41" t="n">
        <v>12</v>
      </c>
    </row>
    <row r="42">
      <c r="A42" t="n">
        <v>41</v>
      </c>
      <c r="B42" t="inlineStr">
        <is>
          <t>8톤</t>
        </is>
      </c>
      <c r="C42" t="n">
        <v>14</v>
      </c>
      <c r="D42" t="inlineStr">
        <is>
          <t>8톤</t>
        </is>
      </c>
      <c r="E42" t="n">
        <v>14</v>
      </c>
      <c r="F42" t="inlineStr">
        <is>
          <t>8톤</t>
        </is>
      </c>
      <c r="G42" t="n">
        <v>13</v>
      </c>
    </row>
    <row r="43">
      <c r="A43" t="n">
        <v>42</v>
      </c>
      <c r="B43" t="inlineStr">
        <is>
          <t>8톤</t>
        </is>
      </c>
      <c r="C43" t="n">
        <v>14</v>
      </c>
      <c r="D43" t="inlineStr">
        <is>
          <t>8톤</t>
        </is>
      </c>
      <c r="E43" t="n">
        <v>14</v>
      </c>
      <c r="F43" t="inlineStr">
        <is>
          <t>8톤</t>
        </is>
      </c>
      <c r="G43" t="n">
        <v>14</v>
      </c>
    </row>
    <row r="44">
      <c r="A44" t="n">
        <v>43</v>
      </c>
      <c r="B44" t="inlineStr">
        <is>
          <t>11톤</t>
        </is>
      </c>
      <c r="C44" t="n">
        <v>15</v>
      </c>
      <c r="D44" t="inlineStr">
        <is>
          <t>8톤</t>
        </is>
      </c>
      <c r="E44" t="n">
        <v>14</v>
      </c>
      <c r="F44" t="inlineStr">
        <is>
          <t>8톤</t>
        </is>
      </c>
      <c r="G44" t="n">
        <v>14</v>
      </c>
    </row>
    <row r="45">
      <c r="A45" t="n">
        <v>44</v>
      </c>
      <c r="B45" t="inlineStr">
        <is>
          <t>11톤</t>
        </is>
      </c>
      <c r="C45" t="n">
        <v>16</v>
      </c>
      <c r="D45" t="inlineStr">
        <is>
          <t>8톤</t>
        </is>
      </c>
      <c r="E45" t="n">
        <v>14</v>
      </c>
      <c r="F45" t="inlineStr">
        <is>
          <t>8톤</t>
        </is>
      </c>
      <c r="G45" t="n">
        <v>14</v>
      </c>
    </row>
    <row r="46">
      <c r="A46" t="n">
        <v>45</v>
      </c>
      <c r="B46" t="inlineStr">
        <is>
          <t>11톤</t>
        </is>
      </c>
      <c r="C46" t="n">
        <v>16</v>
      </c>
      <c r="D46" t="inlineStr">
        <is>
          <t>11톤</t>
        </is>
      </c>
      <c r="E46" t="n">
        <v>15</v>
      </c>
      <c r="F46" t="inlineStr">
        <is>
          <t>8톤</t>
        </is>
      </c>
      <c r="G46" t="n">
        <v>14</v>
      </c>
    </row>
    <row r="47">
      <c r="A47" t="n">
        <v>46</v>
      </c>
      <c r="B47" t="inlineStr">
        <is>
          <t>11톤</t>
        </is>
      </c>
      <c r="C47" t="n">
        <v>16</v>
      </c>
      <c r="D47" t="inlineStr">
        <is>
          <t>11톤</t>
        </is>
      </c>
      <c r="E47" t="n">
        <v>16</v>
      </c>
      <c r="F47" t="inlineStr">
        <is>
          <t>8톤</t>
        </is>
      </c>
      <c r="G47" t="n">
        <v>14</v>
      </c>
    </row>
    <row r="48">
      <c r="A48" t="n">
        <v>47</v>
      </c>
      <c r="B48" t="inlineStr">
        <is>
          <t>11톤</t>
        </is>
      </c>
      <c r="C48" t="n">
        <v>16</v>
      </c>
      <c r="D48" t="inlineStr">
        <is>
          <t>11톤</t>
        </is>
      </c>
      <c r="E48" t="n">
        <v>16</v>
      </c>
      <c r="F48" t="inlineStr">
        <is>
          <t>11톤</t>
        </is>
      </c>
      <c r="G48" t="n">
        <v>15</v>
      </c>
    </row>
    <row r="49">
      <c r="A49" t="n">
        <v>48</v>
      </c>
      <c r="B49" t="inlineStr">
        <is>
          <t>11톤</t>
        </is>
      </c>
      <c r="C49" t="n">
        <v>16</v>
      </c>
      <c r="D49" t="inlineStr">
        <is>
          <t>11톤</t>
        </is>
      </c>
      <c r="E49" t="n">
        <v>16</v>
      </c>
      <c r="F49" t="inlineStr">
        <is>
          <t>11톤</t>
        </is>
      </c>
      <c r="G49" t="n">
        <v>16</v>
      </c>
    </row>
    <row r="50">
      <c r="A50" t="n">
        <v>49</v>
      </c>
      <c r="B50" t="inlineStr">
        <is>
          <t>8톤</t>
        </is>
      </c>
      <c r="C50" t="n">
        <v>13</v>
      </c>
      <c r="D50" t="inlineStr">
        <is>
          <t>5톤</t>
        </is>
      </c>
      <c r="E50" t="n">
        <v>12</v>
      </c>
      <c r="F50" t="inlineStr">
        <is>
          <t>5톤</t>
        </is>
      </c>
      <c r="G50" t="n">
        <v>12</v>
      </c>
      <c r="H50" t="inlineStr">
        <is>
          <t>5톤</t>
        </is>
      </c>
      <c r="I50" t="n">
        <v>12</v>
      </c>
    </row>
    <row r="51">
      <c r="A51" t="n">
        <v>50</v>
      </c>
      <c r="B51" t="inlineStr">
        <is>
          <t>8톤</t>
        </is>
      </c>
      <c r="C51" t="n">
        <v>14</v>
      </c>
      <c r="D51" t="inlineStr">
        <is>
          <t>5톤</t>
        </is>
      </c>
      <c r="E51" t="n">
        <v>12</v>
      </c>
      <c r="F51" t="inlineStr">
        <is>
          <t>5톤</t>
        </is>
      </c>
      <c r="G51" t="n">
        <v>12</v>
      </c>
      <c r="H51" t="inlineStr">
        <is>
          <t>5톤</t>
        </is>
      </c>
      <c r="I51" t="n">
        <v>12</v>
      </c>
    </row>
    <row r="52">
      <c r="A52" t="n">
        <v>51</v>
      </c>
      <c r="B52" t="inlineStr">
        <is>
          <t>8톤</t>
        </is>
      </c>
      <c r="C52" t="n">
        <v>14</v>
      </c>
      <c r="D52" t="inlineStr">
        <is>
          <t>8톤</t>
        </is>
      </c>
      <c r="E52" t="n">
        <v>13</v>
      </c>
      <c r="F52" t="inlineStr">
        <is>
          <t>5톤</t>
        </is>
      </c>
      <c r="G52" t="n">
        <v>12</v>
      </c>
      <c r="H52" t="inlineStr">
        <is>
          <t>5톤</t>
        </is>
      </c>
      <c r="I52" t="n">
        <v>12</v>
      </c>
    </row>
    <row r="53">
      <c r="A53" t="n">
        <v>52</v>
      </c>
      <c r="B53" t="inlineStr">
        <is>
          <t>8톤</t>
        </is>
      </c>
      <c r="C53" t="n">
        <v>14</v>
      </c>
      <c r="D53" t="inlineStr">
        <is>
          <t>8톤</t>
        </is>
      </c>
      <c r="E53" t="n">
        <v>14</v>
      </c>
      <c r="F53" t="inlineStr">
        <is>
          <t>5톤</t>
        </is>
      </c>
      <c r="G53" t="n">
        <v>12</v>
      </c>
      <c r="H53" t="inlineStr">
        <is>
          <t>5톤</t>
        </is>
      </c>
      <c r="I53" t="n">
        <v>12</v>
      </c>
    </row>
    <row r="54">
      <c r="A54" t="n">
        <v>53</v>
      </c>
      <c r="B54" t="inlineStr">
        <is>
          <t>8톤</t>
        </is>
      </c>
      <c r="C54" t="n">
        <v>14</v>
      </c>
      <c r="D54" t="inlineStr">
        <is>
          <t>8톤</t>
        </is>
      </c>
      <c r="E54" t="n">
        <v>14</v>
      </c>
      <c r="F54" t="inlineStr">
        <is>
          <t>8톤</t>
        </is>
      </c>
      <c r="G54" t="n">
        <v>13</v>
      </c>
      <c r="H54" t="inlineStr">
        <is>
          <t>5톤</t>
        </is>
      </c>
      <c r="I54" t="n">
        <v>12</v>
      </c>
    </row>
    <row r="55">
      <c r="A55" t="n">
        <v>54</v>
      </c>
      <c r="B55" t="inlineStr">
        <is>
          <t>8톤</t>
        </is>
      </c>
      <c r="C55" t="n">
        <v>14</v>
      </c>
      <c r="D55" t="inlineStr">
        <is>
          <t>8톤</t>
        </is>
      </c>
      <c r="E55" t="n">
        <v>14</v>
      </c>
      <c r="F55" t="inlineStr">
        <is>
          <t>8톤</t>
        </is>
      </c>
      <c r="G55" t="n">
        <v>14</v>
      </c>
      <c r="H55" t="inlineStr">
        <is>
          <t>5톤</t>
        </is>
      </c>
      <c r="I55" t="n">
        <v>12</v>
      </c>
    </row>
    <row r="56">
      <c r="A56" t="n">
        <v>55</v>
      </c>
      <c r="B56" t="inlineStr">
        <is>
          <t>8톤</t>
        </is>
      </c>
      <c r="C56" t="n">
        <v>14</v>
      </c>
      <c r="D56" t="inlineStr">
        <is>
          <t>8톤</t>
        </is>
      </c>
      <c r="E56" t="n">
        <v>14</v>
      </c>
      <c r="F56" t="inlineStr">
        <is>
          <t>8톤</t>
        </is>
      </c>
      <c r="G56" t="n">
        <v>14</v>
      </c>
      <c r="H56" t="inlineStr">
        <is>
          <t>8톤</t>
        </is>
      </c>
      <c r="I56" t="n">
        <v>13</v>
      </c>
    </row>
    <row r="57">
      <c r="A57" t="n">
        <v>56</v>
      </c>
      <c r="B57" t="inlineStr">
        <is>
          <t>8톤</t>
        </is>
      </c>
      <c r="C57" t="n">
        <v>14</v>
      </c>
      <c r="D57" t="inlineStr">
        <is>
          <t>8톤</t>
        </is>
      </c>
      <c r="E57" t="n">
        <v>14</v>
      </c>
      <c r="F57" t="inlineStr">
        <is>
          <t>8톤</t>
        </is>
      </c>
      <c r="G57" t="n">
        <v>14</v>
      </c>
      <c r="H57" t="inlineStr">
        <is>
          <t>8톤</t>
        </is>
      </c>
      <c r="I57" t="n">
        <v>14</v>
      </c>
    </row>
    <row r="58">
      <c r="A58" t="n">
        <v>57</v>
      </c>
      <c r="B58" t="inlineStr">
        <is>
          <t>11톤</t>
        </is>
      </c>
      <c r="C58" t="n">
        <v>15</v>
      </c>
      <c r="D58" t="inlineStr">
        <is>
          <t>8톤</t>
        </is>
      </c>
      <c r="E58" t="n">
        <v>14</v>
      </c>
      <c r="F58" t="inlineStr">
        <is>
          <t>8톤</t>
        </is>
      </c>
      <c r="G58" t="n">
        <v>14</v>
      </c>
      <c r="H58" t="inlineStr">
        <is>
          <t>8톤</t>
        </is>
      </c>
      <c r="I58" t="n">
        <v>14</v>
      </c>
    </row>
    <row r="59">
      <c r="A59" t="n">
        <v>58</v>
      </c>
      <c r="B59" t="inlineStr">
        <is>
          <t>11톤</t>
        </is>
      </c>
      <c r="C59" t="n">
        <v>16</v>
      </c>
      <c r="D59" t="inlineStr">
        <is>
          <t>8톤</t>
        </is>
      </c>
      <c r="E59" t="n">
        <v>14</v>
      </c>
      <c r="F59" t="inlineStr">
        <is>
          <t>8톤</t>
        </is>
      </c>
      <c r="G59" t="n">
        <v>14</v>
      </c>
      <c r="H59" t="inlineStr">
        <is>
          <t>8톤</t>
        </is>
      </c>
      <c r="I59" t="n">
        <v>14</v>
      </c>
    </row>
    <row r="60">
      <c r="A60" t="n">
        <v>59</v>
      </c>
      <c r="B60" t="inlineStr">
        <is>
          <t>11톤</t>
        </is>
      </c>
      <c r="C60" t="n">
        <v>16</v>
      </c>
      <c r="D60" t="inlineStr">
        <is>
          <t>11톤</t>
        </is>
      </c>
      <c r="E60" t="n">
        <v>15</v>
      </c>
      <c r="F60" t="inlineStr">
        <is>
          <t>8톤</t>
        </is>
      </c>
      <c r="G60" t="n">
        <v>14</v>
      </c>
      <c r="H60" t="inlineStr">
        <is>
          <t>8톤</t>
        </is>
      </c>
      <c r="I60" t="n">
        <v>14</v>
      </c>
    </row>
    <row r="61">
      <c r="A61" t="n">
        <v>60</v>
      </c>
      <c r="B61" t="inlineStr">
        <is>
          <t>11톤</t>
        </is>
      </c>
      <c r="C61" t="n">
        <v>16</v>
      </c>
      <c r="D61" t="inlineStr">
        <is>
          <t>11톤</t>
        </is>
      </c>
      <c r="E61" t="n">
        <v>16</v>
      </c>
      <c r="F61" t="inlineStr">
        <is>
          <t>8톤</t>
        </is>
      </c>
      <c r="G61" t="n">
        <v>14</v>
      </c>
      <c r="H61" t="inlineStr">
        <is>
          <t>8톤</t>
        </is>
      </c>
      <c r="I61" t="n">
        <v>14</v>
      </c>
    </row>
    <row r="62">
      <c r="A62" t="n">
        <v>61</v>
      </c>
      <c r="B62" t="inlineStr">
        <is>
          <t>11톤</t>
        </is>
      </c>
      <c r="C62" t="n">
        <v>16</v>
      </c>
      <c r="D62" t="inlineStr">
        <is>
          <t>11톤</t>
        </is>
      </c>
      <c r="E62" t="n">
        <v>16</v>
      </c>
      <c r="F62" t="inlineStr">
        <is>
          <t>11톤</t>
        </is>
      </c>
      <c r="G62" t="n">
        <v>15</v>
      </c>
      <c r="H62" t="inlineStr">
        <is>
          <t>8톤</t>
        </is>
      </c>
      <c r="I62" t="n">
        <v>14</v>
      </c>
    </row>
    <row r="63">
      <c r="A63" t="n">
        <v>62</v>
      </c>
      <c r="B63" t="inlineStr">
        <is>
          <t>11톤</t>
        </is>
      </c>
      <c r="C63" t="n">
        <v>16</v>
      </c>
      <c r="D63" t="inlineStr">
        <is>
          <t>11톤</t>
        </is>
      </c>
      <c r="E63" t="n">
        <v>16</v>
      </c>
      <c r="F63" t="inlineStr">
        <is>
          <t>11톤</t>
        </is>
      </c>
      <c r="G63" t="n">
        <v>16</v>
      </c>
      <c r="H63" t="inlineStr">
        <is>
          <t>8톤</t>
        </is>
      </c>
      <c r="I63" t="n">
        <v>14</v>
      </c>
    </row>
    <row r="64">
      <c r="A64" t="n">
        <v>63</v>
      </c>
      <c r="B64" t="inlineStr">
        <is>
          <t>11톤</t>
        </is>
      </c>
      <c r="C64" t="n">
        <v>16</v>
      </c>
      <c r="D64" t="inlineStr">
        <is>
          <t>11톤</t>
        </is>
      </c>
      <c r="E64" t="n">
        <v>16</v>
      </c>
      <c r="F64" t="inlineStr">
        <is>
          <t>11톤</t>
        </is>
      </c>
      <c r="G64" t="n">
        <v>16</v>
      </c>
      <c r="H64" t="inlineStr">
        <is>
          <t>11톤</t>
        </is>
      </c>
      <c r="I64" t="n">
        <v>15</v>
      </c>
    </row>
    <row r="65">
      <c r="A65" t="n">
        <v>64</v>
      </c>
      <c r="B65" t="inlineStr">
        <is>
          <t>11톤</t>
        </is>
      </c>
      <c r="C65" t="n">
        <v>16</v>
      </c>
      <c r="D65" t="inlineStr">
        <is>
          <t>11톤</t>
        </is>
      </c>
      <c r="E65" t="n">
        <v>16</v>
      </c>
      <c r="F65" t="inlineStr">
        <is>
          <t>11톤</t>
        </is>
      </c>
      <c r="G65" t="n">
        <v>16</v>
      </c>
      <c r="H65" t="inlineStr">
        <is>
          <t>11톤</t>
        </is>
      </c>
      <c r="I65" t="n">
        <v>16</v>
      </c>
    </row>
    <row r="66">
      <c r="A66" t="n">
        <v>65</v>
      </c>
      <c r="B66" t="inlineStr">
        <is>
          <t>8톤</t>
        </is>
      </c>
      <c r="C66" t="n">
        <v>14</v>
      </c>
      <c r="D66" t="inlineStr">
        <is>
          <t>8톤</t>
        </is>
      </c>
      <c r="E66" t="n">
        <v>14</v>
      </c>
      <c r="F66" t="inlineStr">
        <is>
          <t>8톤</t>
        </is>
      </c>
      <c r="G66" t="n">
        <v>13</v>
      </c>
      <c r="H66" t="inlineStr">
        <is>
          <t>5톤</t>
        </is>
      </c>
      <c r="I66" t="n">
        <v>12</v>
      </c>
      <c r="J66" t="inlineStr">
        <is>
          <t>5톤</t>
        </is>
      </c>
      <c r="K66" t="n">
        <v>12</v>
      </c>
    </row>
    <row r="67">
      <c r="A67" t="n">
        <v>66</v>
      </c>
      <c r="B67" t="inlineStr">
        <is>
          <t>8톤</t>
        </is>
      </c>
      <c r="C67" t="n">
        <v>14</v>
      </c>
      <c r="D67" t="inlineStr">
        <is>
          <t>8톤</t>
        </is>
      </c>
      <c r="E67" t="n">
        <v>14</v>
      </c>
      <c r="F67" t="inlineStr">
        <is>
          <t>8톤</t>
        </is>
      </c>
      <c r="G67" t="n">
        <v>14</v>
      </c>
      <c r="H67" t="inlineStr">
        <is>
          <t>5톤</t>
        </is>
      </c>
      <c r="I67" t="n">
        <v>12</v>
      </c>
      <c r="J67" t="inlineStr">
        <is>
          <t>5톤</t>
        </is>
      </c>
      <c r="K67" t="n">
        <v>12</v>
      </c>
    </row>
    <row r="68">
      <c r="A68" t="n">
        <v>67</v>
      </c>
      <c r="B68" t="inlineStr">
        <is>
          <t>8톤</t>
        </is>
      </c>
      <c r="C68" t="n">
        <v>14</v>
      </c>
      <c r="D68" t="inlineStr">
        <is>
          <t>8톤</t>
        </is>
      </c>
      <c r="E68" t="n">
        <v>14</v>
      </c>
      <c r="F68" t="inlineStr">
        <is>
          <t>8톤</t>
        </is>
      </c>
      <c r="G68" t="n">
        <v>14</v>
      </c>
      <c r="H68" t="inlineStr">
        <is>
          <t>8톤</t>
        </is>
      </c>
      <c r="I68" t="n">
        <v>13</v>
      </c>
      <c r="J68" t="inlineStr">
        <is>
          <t>5톤</t>
        </is>
      </c>
      <c r="K68" t="n">
        <v>12</v>
      </c>
    </row>
    <row r="69">
      <c r="A69" t="n">
        <v>68</v>
      </c>
      <c r="B69" t="inlineStr">
        <is>
          <t>8톤</t>
        </is>
      </c>
      <c r="C69" t="n">
        <v>14</v>
      </c>
      <c r="D69" t="inlineStr">
        <is>
          <t>8톤</t>
        </is>
      </c>
      <c r="E69" t="n">
        <v>14</v>
      </c>
      <c r="F69" t="inlineStr">
        <is>
          <t>8톤</t>
        </is>
      </c>
      <c r="G69" t="n">
        <v>14</v>
      </c>
      <c r="H69" t="inlineStr">
        <is>
          <t>8톤</t>
        </is>
      </c>
      <c r="I69" t="n">
        <v>14</v>
      </c>
      <c r="J69" t="inlineStr">
        <is>
          <t>5톤</t>
        </is>
      </c>
      <c r="K69" t="n">
        <v>12</v>
      </c>
    </row>
    <row r="70">
      <c r="A70" t="n">
        <v>69</v>
      </c>
      <c r="B70" t="inlineStr">
        <is>
          <t>8톤</t>
        </is>
      </c>
      <c r="C70" t="n">
        <v>14</v>
      </c>
      <c r="D70" t="inlineStr">
        <is>
          <t>8톤</t>
        </is>
      </c>
      <c r="E70" t="n">
        <v>14</v>
      </c>
      <c r="F70" t="inlineStr">
        <is>
          <t>8톤</t>
        </is>
      </c>
      <c r="G70" t="n">
        <v>14</v>
      </c>
      <c r="H70" t="inlineStr">
        <is>
          <t>8톤</t>
        </is>
      </c>
      <c r="I70" t="n">
        <v>14</v>
      </c>
      <c r="J70" t="inlineStr">
        <is>
          <t>8톤</t>
        </is>
      </c>
      <c r="K70" t="n">
        <v>13</v>
      </c>
    </row>
    <row r="71">
      <c r="A71" t="n">
        <v>70</v>
      </c>
      <c r="B71" t="inlineStr">
        <is>
          <t>8톤</t>
        </is>
      </c>
      <c r="C71" t="n">
        <v>14</v>
      </c>
      <c r="D71" t="inlineStr">
        <is>
          <t>8톤</t>
        </is>
      </c>
      <c r="E71" t="n">
        <v>14</v>
      </c>
      <c r="F71" t="inlineStr">
        <is>
          <t>8톤</t>
        </is>
      </c>
      <c r="G71" t="n">
        <v>14</v>
      </c>
      <c r="H71" t="inlineStr">
        <is>
          <t>8톤</t>
        </is>
      </c>
      <c r="I71" t="n">
        <v>14</v>
      </c>
      <c r="J71" t="inlineStr">
        <is>
          <t>8톤</t>
        </is>
      </c>
      <c r="K71" t="n">
        <v>14</v>
      </c>
    </row>
    <row r="72">
      <c r="A72" t="n">
        <v>71</v>
      </c>
      <c r="B72" t="inlineStr">
        <is>
          <t>11톤</t>
        </is>
      </c>
      <c r="C72" t="n">
        <v>15</v>
      </c>
      <c r="D72" t="inlineStr">
        <is>
          <t>8톤</t>
        </is>
      </c>
      <c r="E72" t="n">
        <v>14</v>
      </c>
      <c r="F72" t="inlineStr">
        <is>
          <t>8톤</t>
        </is>
      </c>
      <c r="G72" t="n">
        <v>14</v>
      </c>
      <c r="H72" t="inlineStr">
        <is>
          <t>8톤</t>
        </is>
      </c>
      <c r="I72" t="n">
        <v>14</v>
      </c>
      <c r="J72" t="inlineStr">
        <is>
          <t>8톤</t>
        </is>
      </c>
      <c r="K72" t="n">
        <v>14</v>
      </c>
    </row>
    <row r="73">
      <c r="A73" t="n">
        <v>72</v>
      </c>
      <c r="B73" t="inlineStr">
        <is>
          <t>11톤</t>
        </is>
      </c>
      <c r="C73" t="n">
        <v>16</v>
      </c>
      <c r="D73" t="inlineStr">
        <is>
          <t>8톤</t>
        </is>
      </c>
      <c r="E73" t="n">
        <v>14</v>
      </c>
      <c r="F73" t="inlineStr">
        <is>
          <t>8톤</t>
        </is>
      </c>
      <c r="G73" t="n">
        <v>14</v>
      </c>
      <c r="H73" t="inlineStr">
        <is>
          <t>8톤</t>
        </is>
      </c>
      <c r="I73" t="n">
        <v>14</v>
      </c>
      <c r="J73" t="inlineStr">
        <is>
          <t>8톤</t>
        </is>
      </c>
      <c r="K73" t="n">
        <v>14</v>
      </c>
    </row>
    <row r="74">
      <c r="A74" t="n">
        <v>73</v>
      </c>
      <c r="B74" t="inlineStr">
        <is>
          <t>11톤</t>
        </is>
      </c>
      <c r="C74" t="n">
        <v>16</v>
      </c>
      <c r="D74" t="inlineStr">
        <is>
          <t>11톤</t>
        </is>
      </c>
      <c r="E74" t="n">
        <v>15</v>
      </c>
      <c r="F74" t="inlineStr">
        <is>
          <t>8톤</t>
        </is>
      </c>
      <c r="G74" t="n">
        <v>14</v>
      </c>
      <c r="H74" t="inlineStr">
        <is>
          <t>8톤</t>
        </is>
      </c>
      <c r="I74" t="n">
        <v>14</v>
      </c>
      <c r="J74" t="inlineStr">
        <is>
          <t>8톤</t>
        </is>
      </c>
      <c r="K74" t="n">
        <v>14</v>
      </c>
    </row>
    <row r="75">
      <c r="A75" t="n">
        <v>74</v>
      </c>
      <c r="B75" t="inlineStr">
        <is>
          <t>11톤</t>
        </is>
      </c>
      <c r="C75" t="n">
        <v>16</v>
      </c>
      <c r="D75" t="inlineStr">
        <is>
          <t>11톤</t>
        </is>
      </c>
      <c r="E75" t="n">
        <v>16</v>
      </c>
      <c r="F75" t="inlineStr">
        <is>
          <t>8톤</t>
        </is>
      </c>
      <c r="G75" t="n">
        <v>14</v>
      </c>
      <c r="H75" t="inlineStr">
        <is>
          <t>8톤</t>
        </is>
      </c>
      <c r="I75" t="n">
        <v>14</v>
      </c>
      <c r="J75" t="inlineStr">
        <is>
          <t>8톤</t>
        </is>
      </c>
      <c r="K75" t="n">
        <v>14</v>
      </c>
    </row>
    <row r="76">
      <c r="A76" t="n">
        <v>75</v>
      </c>
      <c r="B76" t="inlineStr">
        <is>
          <t>11톤</t>
        </is>
      </c>
      <c r="C76" t="n">
        <v>16</v>
      </c>
      <c r="D76" t="inlineStr">
        <is>
          <t>11톤</t>
        </is>
      </c>
      <c r="E76" t="n">
        <v>16</v>
      </c>
      <c r="F76" t="inlineStr">
        <is>
          <t>11톤</t>
        </is>
      </c>
      <c r="G76" t="n">
        <v>15</v>
      </c>
      <c r="H76" t="inlineStr">
        <is>
          <t>8톤</t>
        </is>
      </c>
      <c r="I76" t="n">
        <v>14</v>
      </c>
      <c r="J76" t="inlineStr">
        <is>
          <t>8톤</t>
        </is>
      </c>
      <c r="K76" t="n">
        <v>14</v>
      </c>
    </row>
    <row r="77">
      <c r="A77" t="n">
        <v>76</v>
      </c>
      <c r="B77" t="inlineStr">
        <is>
          <t>11톤</t>
        </is>
      </c>
      <c r="C77" t="n">
        <v>16</v>
      </c>
      <c r="D77" t="inlineStr">
        <is>
          <t>11톤</t>
        </is>
      </c>
      <c r="E77" t="n">
        <v>16</v>
      </c>
      <c r="F77" t="inlineStr">
        <is>
          <t>11톤</t>
        </is>
      </c>
      <c r="G77" t="n">
        <v>16</v>
      </c>
      <c r="H77" t="inlineStr">
        <is>
          <t>8톤</t>
        </is>
      </c>
      <c r="I77" t="n">
        <v>14</v>
      </c>
      <c r="J77" t="inlineStr">
        <is>
          <t>8톤</t>
        </is>
      </c>
      <c r="K77" t="n">
        <v>14</v>
      </c>
    </row>
    <row r="78">
      <c r="A78" t="n">
        <v>77</v>
      </c>
      <c r="B78" t="inlineStr">
        <is>
          <t>11톤</t>
        </is>
      </c>
      <c r="C78" t="n">
        <v>16</v>
      </c>
      <c r="D78" t="inlineStr">
        <is>
          <t>11톤</t>
        </is>
      </c>
      <c r="E78" t="n">
        <v>16</v>
      </c>
      <c r="F78" t="inlineStr">
        <is>
          <t>11톤</t>
        </is>
      </c>
      <c r="G78" t="n">
        <v>16</v>
      </c>
      <c r="H78" t="inlineStr">
        <is>
          <t>11톤</t>
        </is>
      </c>
      <c r="I78" t="n">
        <v>15</v>
      </c>
      <c r="J78" t="inlineStr">
        <is>
          <t>8톤</t>
        </is>
      </c>
      <c r="K78" t="n">
        <v>14</v>
      </c>
    </row>
    <row r="79">
      <c r="A79" t="n">
        <v>78</v>
      </c>
      <c r="B79" t="inlineStr">
        <is>
          <t>11톤</t>
        </is>
      </c>
      <c r="C79" t="n">
        <v>16</v>
      </c>
      <c r="D79" t="inlineStr">
        <is>
          <t>11톤</t>
        </is>
      </c>
      <c r="E79" t="n">
        <v>16</v>
      </c>
      <c r="F79" t="inlineStr">
        <is>
          <t>11톤</t>
        </is>
      </c>
      <c r="G79" t="n">
        <v>16</v>
      </c>
      <c r="H79" t="inlineStr">
        <is>
          <t>11톤</t>
        </is>
      </c>
      <c r="I79" t="n">
        <v>16</v>
      </c>
      <c r="J79" t="inlineStr">
        <is>
          <t>8톤</t>
        </is>
      </c>
      <c r="K79" t="n">
        <v>14</v>
      </c>
    </row>
    <row r="80">
      <c r="A80" t="n">
        <v>79</v>
      </c>
      <c r="B80" t="inlineStr">
        <is>
          <t>8톤</t>
        </is>
      </c>
      <c r="C80" t="n">
        <v>14</v>
      </c>
      <c r="D80" t="inlineStr">
        <is>
          <t>8톤</t>
        </is>
      </c>
      <c r="E80" t="n">
        <v>14</v>
      </c>
      <c r="F80" t="inlineStr">
        <is>
          <t>8톤</t>
        </is>
      </c>
      <c r="G80" t="n">
        <v>14</v>
      </c>
      <c r="H80" t="inlineStr">
        <is>
          <t>8톤</t>
        </is>
      </c>
      <c r="I80" t="n">
        <v>13</v>
      </c>
      <c r="J80" t="inlineStr">
        <is>
          <t>5톤</t>
        </is>
      </c>
      <c r="K80" t="n">
        <v>12</v>
      </c>
      <c r="L80" t="inlineStr">
        <is>
          <t>5톤</t>
        </is>
      </c>
      <c r="M80" t="n">
        <v>12</v>
      </c>
    </row>
    <row r="81">
      <c r="A81" t="n">
        <v>80</v>
      </c>
      <c r="B81" t="inlineStr">
        <is>
          <t>8톤</t>
        </is>
      </c>
      <c r="C81" t="n">
        <v>14</v>
      </c>
      <c r="D81" t="inlineStr">
        <is>
          <t>8톤</t>
        </is>
      </c>
      <c r="E81" t="n">
        <v>14</v>
      </c>
      <c r="F81" t="inlineStr">
        <is>
          <t>8톤</t>
        </is>
      </c>
      <c r="G81" t="n">
        <v>14</v>
      </c>
      <c r="H81" t="inlineStr">
        <is>
          <t>8톤</t>
        </is>
      </c>
      <c r="I81" t="n">
        <v>14</v>
      </c>
      <c r="J81" t="inlineStr">
        <is>
          <t>5톤</t>
        </is>
      </c>
      <c r="K81" t="n">
        <v>12</v>
      </c>
      <c r="L81" t="inlineStr">
        <is>
          <t>5톤</t>
        </is>
      </c>
      <c r="M81" t="n">
        <v>12</v>
      </c>
    </row>
    <row r="82">
      <c r="A82" t="n">
        <v>81</v>
      </c>
      <c r="B82" t="inlineStr">
        <is>
          <t>8톤</t>
        </is>
      </c>
      <c r="C82" t="n">
        <v>14</v>
      </c>
      <c r="D82" t="inlineStr">
        <is>
          <t>8톤</t>
        </is>
      </c>
      <c r="E82" t="n">
        <v>14</v>
      </c>
      <c r="F82" t="inlineStr">
        <is>
          <t>8톤</t>
        </is>
      </c>
      <c r="G82" t="n">
        <v>14</v>
      </c>
      <c r="H82" t="inlineStr">
        <is>
          <t>8톤</t>
        </is>
      </c>
      <c r="I82" t="n">
        <v>14</v>
      </c>
      <c r="J82" t="inlineStr">
        <is>
          <t>8톤</t>
        </is>
      </c>
      <c r="K82" t="n">
        <v>13</v>
      </c>
      <c r="L82" t="inlineStr">
        <is>
          <t>5톤</t>
        </is>
      </c>
      <c r="M82" t="n">
        <v>12</v>
      </c>
    </row>
    <row r="83">
      <c r="A83" t="n">
        <v>82</v>
      </c>
      <c r="B83" t="inlineStr">
        <is>
          <t>8톤</t>
        </is>
      </c>
      <c r="C83" t="n">
        <v>14</v>
      </c>
      <c r="D83" t="inlineStr">
        <is>
          <t>8톤</t>
        </is>
      </c>
      <c r="E83" t="n">
        <v>14</v>
      </c>
      <c r="F83" t="inlineStr">
        <is>
          <t>8톤</t>
        </is>
      </c>
      <c r="G83" t="n">
        <v>14</v>
      </c>
      <c r="H83" t="inlineStr">
        <is>
          <t>8톤</t>
        </is>
      </c>
      <c r="I83" t="n">
        <v>14</v>
      </c>
      <c r="J83" t="inlineStr">
        <is>
          <t>8톤</t>
        </is>
      </c>
      <c r="K83" t="n">
        <v>14</v>
      </c>
      <c r="L83" t="inlineStr">
        <is>
          <t>5톤</t>
        </is>
      </c>
      <c r="M83" t="n">
        <v>12</v>
      </c>
    </row>
    <row r="84">
      <c r="A84" t="n">
        <v>83</v>
      </c>
      <c r="B84" t="inlineStr">
        <is>
          <t>8톤</t>
        </is>
      </c>
      <c r="C84" t="n">
        <v>14</v>
      </c>
      <c r="D84" t="inlineStr">
        <is>
          <t>8톤</t>
        </is>
      </c>
      <c r="E84" t="n">
        <v>14</v>
      </c>
      <c r="F84" t="inlineStr">
        <is>
          <t>8톤</t>
        </is>
      </c>
      <c r="G84" t="n">
        <v>14</v>
      </c>
      <c r="H84" t="inlineStr">
        <is>
          <t>8톤</t>
        </is>
      </c>
      <c r="I84" t="n">
        <v>14</v>
      </c>
      <c r="J84" t="inlineStr">
        <is>
          <t>8톤</t>
        </is>
      </c>
      <c r="K84" t="n">
        <v>14</v>
      </c>
      <c r="L84" t="inlineStr">
        <is>
          <t>8톤</t>
        </is>
      </c>
      <c r="M84" t="n">
        <v>13</v>
      </c>
    </row>
    <row r="85">
      <c r="A85" t="n">
        <v>84</v>
      </c>
      <c r="B85" t="inlineStr">
        <is>
          <t>8톤</t>
        </is>
      </c>
      <c r="C85" t="n">
        <v>14</v>
      </c>
      <c r="D85" t="inlineStr">
        <is>
          <t>8톤</t>
        </is>
      </c>
      <c r="E85" t="n">
        <v>14</v>
      </c>
      <c r="F85" t="inlineStr">
        <is>
          <t>8톤</t>
        </is>
      </c>
      <c r="G85" t="n">
        <v>14</v>
      </c>
      <c r="H85" t="inlineStr">
        <is>
          <t>8톤</t>
        </is>
      </c>
      <c r="I85" t="n">
        <v>14</v>
      </c>
      <c r="J85" t="inlineStr">
        <is>
          <t>8톤</t>
        </is>
      </c>
      <c r="K85" t="n">
        <v>14</v>
      </c>
      <c r="L85" t="inlineStr">
        <is>
          <t>8톤</t>
        </is>
      </c>
      <c r="M85" t="n">
        <v>14</v>
      </c>
    </row>
    <row r="86">
      <c r="A86" t="n">
        <v>85</v>
      </c>
      <c r="B86" t="inlineStr">
        <is>
          <t>11톤</t>
        </is>
      </c>
      <c r="C86" t="n">
        <v>15</v>
      </c>
      <c r="D86" t="inlineStr">
        <is>
          <t>8톤</t>
        </is>
      </c>
      <c r="E86" t="n">
        <v>14</v>
      </c>
      <c r="F86" t="inlineStr">
        <is>
          <t>8톤</t>
        </is>
      </c>
      <c r="G86" t="n">
        <v>14</v>
      </c>
      <c r="H86" t="inlineStr">
        <is>
          <t>8톤</t>
        </is>
      </c>
      <c r="I86" t="n">
        <v>14</v>
      </c>
      <c r="J86" t="inlineStr">
        <is>
          <t>8톤</t>
        </is>
      </c>
      <c r="K86" t="n">
        <v>14</v>
      </c>
      <c r="L86" t="inlineStr">
        <is>
          <t>8톤</t>
        </is>
      </c>
      <c r="M86" t="n">
        <v>14</v>
      </c>
    </row>
    <row r="87">
      <c r="A87" t="n">
        <v>86</v>
      </c>
      <c r="B87" t="inlineStr">
        <is>
          <t>11톤</t>
        </is>
      </c>
      <c r="C87" t="n">
        <v>16</v>
      </c>
      <c r="D87" t="inlineStr">
        <is>
          <t>8톤</t>
        </is>
      </c>
      <c r="E87" t="n">
        <v>14</v>
      </c>
      <c r="F87" t="inlineStr">
        <is>
          <t>8톤</t>
        </is>
      </c>
      <c r="G87" t="n">
        <v>14</v>
      </c>
      <c r="H87" t="inlineStr">
        <is>
          <t>8톤</t>
        </is>
      </c>
      <c r="I87" t="n">
        <v>14</v>
      </c>
      <c r="J87" t="inlineStr">
        <is>
          <t>8톤</t>
        </is>
      </c>
      <c r="K87" t="n">
        <v>14</v>
      </c>
      <c r="L87" t="inlineStr">
        <is>
          <t>8톤</t>
        </is>
      </c>
      <c r="M87" t="n">
        <v>14</v>
      </c>
    </row>
    <row r="88">
      <c r="A88" t="n">
        <v>87</v>
      </c>
      <c r="B88" t="inlineStr">
        <is>
          <t>11톤</t>
        </is>
      </c>
      <c r="C88" t="n">
        <v>16</v>
      </c>
      <c r="D88" t="inlineStr">
        <is>
          <t>11톤</t>
        </is>
      </c>
      <c r="E88" t="n">
        <v>15</v>
      </c>
      <c r="F88" t="inlineStr">
        <is>
          <t>8톤</t>
        </is>
      </c>
      <c r="G88" t="n">
        <v>14</v>
      </c>
      <c r="H88" t="inlineStr">
        <is>
          <t>8톤</t>
        </is>
      </c>
      <c r="I88" t="n">
        <v>14</v>
      </c>
      <c r="J88" t="inlineStr">
        <is>
          <t>8톤</t>
        </is>
      </c>
      <c r="K88" t="n">
        <v>14</v>
      </c>
      <c r="L88" t="inlineStr">
        <is>
          <t>8톤</t>
        </is>
      </c>
      <c r="M88" t="n">
        <v>14</v>
      </c>
    </row>
    <row r="89">
      <c r="A89" t="n">
        <v>88</v>
      </c>
      <c r="B89" t="inlineStr">
        <is>
          <t>11톤</t>
        </is>
      </c>
      <c r="C89" t="n">
        <v>16</v>
      </c>
      <c r="D89" t="inlineStr">
        <is>
          <t>11톤</t>
        </is>
      </c>
      <c r="E89" t="n">
        <v>16</v>
      </c>
      <c r="F89" t="inlineStr">
        <is>
          <t>8톤</t>
        </is>
      </c>
      <c r="G89" t="n">
        <v>14</v>
      </c>
      <c r="H89" t="inlineStr">
        <is>
          <t>8톤</t>
        </is>
      </c>
      <c r="I89" t="n">
        <v>14</v>
      </c>
      <c r="J89" t="inlineStr">
        <is>
          <t>8톤</t>
        </is>
      </c>
      <c r="K89" t="n">
        <v>14</v>
      </c>
      <c r="L89" t="inlineStr">
        <is>
          <t>8톤</t>
        </is>
      </c>
      <c r="M89" t="n">
        <v>14</v>
      </c>
    </row>
    <row r="90">
      <c r="A90" t="n">
        <v>89</v>
      </c>
      <c r="B90" t="inlineStr">
        <is>
          <t>11톤</t>
        </is>
      </c>
      <c r="C90" t="n">
        <v>16</v>
      </c>
      <c r="D90" t="inlineStr">
        <is>
          <t>11톤</t>
        </is>
      </c>
      <c r="E90" t="n">
        <v>16</v>
      </c>
      <c r="F90" t="inlineStr">
        <is>
          <t>11톤</t>
        </is>
      </c>
      <c r="G90" t="n">
        <v>15</v>
      </c>
      <c r="H90" t="inlineStr">
        <is>
          <t>8톤</t>
        </is>
      </c>
      <c r="I90" t="n">
        <v>14</v>
      </c>
      <c r="J90" t="inlineStr">
        <is>
          <t>8톤</t>
        </is>
      </c>
      <c r="K90" t="n">
        <v>14</v>
      </c>
      <c r="L90" t="inlineStr">
        <is>
          <t>8톤</t>
        </is>
      </c>
      <c r="M90" t="n">
        <v>14</v>
      </c>
    </row>
    <row r="91">
      <c r="A91" t="n">
        <v>90</v>
      </c>
      <c r="B91" t="inlineStr">
        <is>
          <t>11톤</t>
        </is>
      </c>
      <c r="C91" t="n">
        <v>16</v>
      </c>
      <c r="D91" t="inlineStr">
        <is>
          <t>11톤</t>
        </is>
      </c>
      <c r="E91" t="n">
        <v>16</v>
      </c>
      <c r="F91" t="inlineStr">
        <is>
          <t>11톤</t>
        </is>
      </c>
      <c r="G91" t="n">
        <v>16</v>
      </c>
      <c r="H91" t="inlineStr">
        <is>
          <t>8톤</t>
        </is>
      </c>
      <c r="I91" t="n">
        <v>14</v>
      </c>
      <c r="J91" t="inlineStr">
        <is>
          <t>8톤</t>
        </is>
      </c>
      <c r="K91" t="n">
        <v>14</v>
      </c>
      <c r="L91" t="inlineStr">
        <is>
          <t>8톤</t>
        </is>
      </c>
      <c r="M91" t="n">
        <v>14</v>
      </c>
    </row>
    <row r="92">
      <c r="A92" t="n">
        <v>91</v>
      </c>
      <c r="B92" t="inlineStr">
        <is>
          <t>11톤</t>
        </is>
      </c>
      <c r="C92" t="n">
        <v>16</v>
      </c>
      <c r="D92" t="inlineStr">
        <is>
          <t>11톤</t>
        </is>
      </c>
      <c r="E92" t="n">
        <v>16</v>
      </c>
      <c r="F92" t="inlineStr">
        <is>
          <t>11톤</t>
        </is>
      </c>
      <c r="G92" t="n">
        <v>16</v>
      </c>
      <c r="H92" t="inlineStr">
        <is>
          <t>11톤</t>
        </is>
      </c>
      <c r="I92" t="n">
        <v>15</v>
      </c>
      <c r="J92" t="inlineStr">
        <is>
          <t>8톤</t>
        </is>
      </c>
      <c r="K92" t="n">
        <v>14</v>
      </c>
      <c r="L92" t="inlineStr">
        <is>
          <t>8톤</t>
        </is>
      </c>
      <c r="M92" t="n">
        <v>14</v>
      </c>
    </row>
    <row r="93">
      <c r="A93" t="n">
        <v>92</v>
      </c>
      <c r="B93" t="inlineStr">
        <is>
          <t>11톤</t>
        </is>
      </c>
      <c r="C93" t="n">
        <v>16</v>
      </c>
      <c r="D93" t="inlineStr">
        <is>
          <t>11톤</t>
        </is>
      </c>
      <c r="E93" t="n">
        <v>16</v>
      </c>
      <c r="F93" t="inlineStr">
        <is>
          <t>11톤</t>
        </is>
      </c>
      <c r="G93" t="n">
        <v>16</v>
      </c>
      <c r="H93" t="inlineStr">
        <is>
          <t>11톤</t>
        </is>
      </c>
      <c r="I93" t="n">
        <v>16</v>
      </c>
      <c r="J93" t="inlineStr">
        <is>
          <t>8톤</t>
        </is>
      </c>
      <c r="K93" t="n">
        <v>14</v>
      </c>
      <c r="L93" t="inlineStr">
        <is>
          <t>8톤</t>
        </is>
      </c>
      <c r="M93" t="n">
        <v>14</v>
      </c>
    </row>
    <row r="94">
      <c r="A94" t="n">
        <v>93</v>
      </c>
      <c r="B94" t="inlineStr">
        <is>
          <t>8톤</t>
        </is>
      </c>
      <c r="C94" t="n">
        <v>14</v>
      </c>
      <c r="D94" t="inlineStr">
        <is>
          <t>8톤</t>
        </is>
      </c>
      <c r="E94" t="n">
        <v>14</v>
      </c>
      <c r="F94" t="inlineStr">
        <is>
          <t>8톤</t>
        </is>
      </c>
      <c r="G94" t="n">
        <v>14</v>
      </c>
      <c r="H94" t="inlineStr">
        <is>
          <t>8톤</t>
        </is>
      </c>
      <c r="I94" t="n">
        <v>14</v>
      </c>
      <c r="J94" t="inlineStr">
        <is>
          <t>8톤</t>
        </is>
      </c>
      <c r="K94" t="n">
        <v>13</v>
      </c>
      <c r="L94" t="inlineStr">
        <is>
          <t>5톤</t>
        </is>
      </c>
      <c r="M94" t="n">
        <v>12</v>
      </c>
      <c r="N94" t="inlineStr">
        <is>
          <t>5톤</t>
        </is>
      </c>
      <c r="O94" t="n">
        <v>12</v>
      </c>
    </row>
    <row r="95">
      <c r="A95" t="n">
        <v>94</v>
      </c>
      <c r="B95" t="inlineStr">
        <is>
          <t>8톤</t>
        </is>
      </c>
      <c r="C95" t="n">
        <v>14</v>
      </c>
      <c r="D95" t="inlineStr">
        <is>
          <t>8톤</t>
        </is>
      </c>
      <c r="E95" t="n">
        <v>14</v>
      </c>
      <c r="F95" t="inlineStr">
        <is>
          <t>8톤</t>
        </is>
      </c>
      <c r="G95" t="n">
        <v>14</v>
      </c>
      <c r="H95" t="inlineStr">
        <is>
          <t>8톤</t>
        </is>
      </c>
      <c r="I95" t="n">
        <v>14</v>
      </c>
      <c r="J95" t="inlineStr">
        <is>
          <t>8톤</t>
        </is>
      </c>
      <c r="K95" t="n">
        <v>14</v>
      </c>
      <c r="L95" t="inlineStr">
        <is>
          <t>5톤</t>
        </is>
      </c>
      <c r="M95" t="n">
        <v>12</v>
      </c>
      <c r="N95" t="inlineStr">
        <is>
          <t>5톤</t>
        </is>
      </c>
      <c r="O95" t="n">
        <v>12</v>
      </c>
    </row>
    <row r="96">
      <c r="A96" t="n">
        <v>95</v>
      </c>
      <c r="B96" t="inlineStr">
        <is>
          <t>8톤</t>
        </is>
      </c>
      <c r="C96" t="n">
        <v>14</v>
      </c>
      <c r="D96" t="inlineStr">
        <is>
          <t>8톤</t>
        </is>
      </c>
      <c r="E96" t="n">
        <v>14</v>
      </c>
      <c r="F96" t="inlineStr">
        <is>
          <t>8톤</t>
        </is>
      </c>
      <c r="G96" t="n">
        <v>14</v>
      </c>
      <c r="H96" t="inlineStr">
        <is>
          <t>8톤</t>
        </is>
      </c>
      <c r="I96" t="n">
        <v>14</v>
      </c>
      <c r="J96" t="inlineStr">
        <is>
          <t>8톤</t>
        </is>
      </c>
      <c r="K96" t="n">
        <v>14</v>
      </c>
      <c r="L96" t="inlineStr">
        <is>
          <t>8톤</t>
        </is>
      </c>
      <c r="M96" t="n">
        <v>13</v>
      </c>
      <c r="N96" t="inlineStr">
        <is>
          <t>5톤</t>
        </is>
      </c>
      <c r="O96" t="n">
        <v>12</v>
      </c>
    </row>
    <row r="97">
      <c r="A97" t="n">
        <v>96</v>
      </c>
      <c r="B97" t="inlineStr">
        <is>
          <t>8톤</t>
        </is>
      </c>
      <c r="C97" t="n">
        <v>14</v>
      </c>
      <c r="D97" t="inlineStr">
        <is>
          <t>8톤</t>
        </is>
      </c>
      <c r="E97" t="n">
        <v>14</v>
      </c>
      <c r="F97" t="inlineStr">
        <is>
          <t>8톤</t>
        </is>
      </c>
      <c r="G97" t="n">
        <v>14</v>
      </c>
      <c r="H97" t="inlineStr">
        <is>
          <t>8톤</t>
        </is>
      </c>
      <c r="I97" t="n">
        <v>14</v>
      </c>
      <c r="J97" t="inlineStr">
        <is>
          <t>8톤</t>
        </is>
      </c>
      <c r="K97" t="n">
        <v>14</v>
      </c>
      <c r="L97" t="inlineStr">
        <is>
          <t>8톤</t>
        </is>
      </c>
      <c r="M97" t="n">
        <v>14</v>
      </c>
      <c r="N97" t="inlineStr">
        <is>
          <t>5톤</t>
        </is>
      </c>
      <c r="O97" t="n">
        <v>12</v>
      </c>
    </row>
    <row r="98">
      <c r="A98" t="n">
        <v>97</v>
      </c>
      <c r="B98" t="inlineStr">
        <is>
          <t>8톤</t>
        </is>
      </c>
      <c r="C98" t="n">
        <v>14</v>
      </c>
      <c r="D98" t="inlineStr">
        <is>
          <t>8톤</t>
        </is>
      </c>
      <c r="E98" t="n">
        <v>14</v>
      </c>
      <c r="F98" t="inlineStr">
        <is>
          <t>8톤</t>
        </is>
      </c>
      <c r="G98" t="n">
        <v>14</v>
      </c>
      <c r="H98" t="inlineStr">
        <is>
          <t>8톤</t>
        </is>
      </c>
      <c r="I98" t="n">
        <v>14</v>
      </c>
      <c r="J98" t="inlineStr">
        <is>
          <t>8톤</t>
        </is>
      </c>
      <c r="K98" t="n">
        <v>14</v>
      </c>
      <c r="L98" t="inlineStr">
        <is>
          <t>8톤</t>
        </is>
      </c>
      <c r="M98" t="n">
        <v>14</v>
      </c>
      <c r="N98" t="inlineStr">
        <is>
          <t>8톤</t>
        </is>
      </c>
      <c r="O98" t="n">
        <v>13</v>
      </c>
    </row>
    <row r="99">
      <c r="A99" t="n">
        <v>98</v>
      </c>
      <c r="B99" t="inlineStr">
        <is>
          <t>8톤</t>
        </is>
      </c>
      <c r="C99" t="n">
        <v>14</v>
      </c>
      <c r="D99" t="inlineStr">
        <is>
          <t>8톤</t>
        </is>
      </c>
      <c r="E99" t="n">
        <v>14</v>
      </c>
      <c r="F99" t="inlineStr">
        <is>
          <t>8톤</t>
        </is>
      </c>
      <c r="G99" t="n">
        <v>14</v>
      </c>
      <c r="H99" t="inlineStr">
        <is>
          <t>8톤</t>
        </is>
      </c>
      <c r="I99" t="n">
        <v>14</v>
      </c>
      <c r="J99" t="inlineStr">
        <is>
          <t>8톤</t>
        </is>
      </c>
      <c r="K99" t="n">
        <v>14</v>
      </c>
      <c r="L99" t="inlineStr">
        <is>
          <t>8톤</t>
        </is>
      </c>
      <c r="M99" t="n">
        <v>14</v>
      </c>
      <c r="N99" t="inlineStr">
        <is>
          <t>8톤</t>
        </is>
      </c>
      <c r="O99" t="n">
        <v>14</v>
      </c>
    </row>
    <row r="100">
      <c r="A100" t="n">
        <v>99</v>
      </c>
      <c r="B100" t="inlineStr">
        <is>
          <t>11톤</t>
        </is>
      </c>
      <c r="C100" t="n">
        <v>15</v>
      </c>
      <c r="D100" t="inlineStr">
        <is>
          <t>8톤</t>
        </is>
      </c>
      <c r="E100" t="n">
        <v>14</v>
      </c>
      <c r="F100" t="inlineStr">
        <is>
          <t>8톤</t>
        </is>
      </c>
      <c r="G100" t="n">
        <v>14</v>
      </c>
      <c r="H100" t="inlineStr">
        <is>
          <t>8톤</t>
        </is>
      </c>
      <c r="I100" t="n">
        <v>14</v>
      </c>
      <c r="J100" t="inlineStr">
        <is>
          <t>8톤</t>
        </is>
      </c>
      <c r="K100" t="n">
        <v>14</v>
      </c>
      <c r="L100" t="inlineStr">
        <is>
          <t>8톤</t>
        </is>
      </c>
      <c r="M100" t="n">
        <v>14</v>
      </c>
      <c r="N100" t="inlineStr">
        <is>
          <t>8톤</t>
        </is>
      </c>
      <c r="O100" t="n">
        <v>14</v>
      </c>
    </row>
    <row r="101">
      <c r="A101" t="n">
        <v>100</v>
      </c>
      <c r="B101" t="inlineStr">
        <is>
          <t>11톤</t>
        </is>
      </c>
      <c r="C101" t="n">
        <v>16</v>
      </c>
      <c r="D101" t="inlineStr">
        <is>
          <t>8톤</t>
        </is>
      </c>
      <c r="E101" t="n">
        <v>14</v>
      </c>
      <c r="F101" t="inlineStr">
        <is>
          <t>8톤</t>
        </is>
      </c>
      <c r="G101" t="n">
        <v>14</v>
      </c>
      <c r="H101" t="inlineStr">
        <is>
          <t>8톤</t>
        </is>
      </c>
      <c r="I101" t="n">
        <v>14</v>
      </c>
      <c r="J101" t="inlineStr">
        <is>
          <t>8톤</t>
        </is>
      </c>
      <c r="K101" t="n">
        <v>14</v>
      </c>
      <c r="L101" t="inlineStr">
        <is>
          <t>8톤</t>
        </is>
      </c>
      <c r="M101" t="n">
        <v>14</v>
      </c>
      <c r="N101" t="inlineStr">
        <is>
          <t>8톤</t>
        </is>
      </c>
      <c r="O101" t="n">
        <v>14</v>
      </c>
    </row>
    <row r="102">
      <c r="A102" t="n">
        <v>101</v>
      </c>
      <c r="B102" t="inlineStr">
        <is>
          <t>11톤</t>
        </is>
      </c>
      <c r="C102" t="n">
        <v>16</v>
      </c>
      <c r="D102" t="inlineStr">
        <is>
          <t>11톤</t>
        </is>
      </c>
      <c r="E102" t="n">
        <v>15</v>
      </c>
      <c r="F102" t="inlineStr">
        <is>
          <t>8톤</t>
        </is>
      </c>
      <c r="G102" t="n">
        <v>14</v>
      </c>
      <c r="H102" t="inlineStr">
        <is>
          <t>8톤</t>
        </is>
      </c>
      <c r="I102" t="n">
        <v>14</v>
      </c>
      <c r="J102" t="inlineStr">
        <is>
          <t>8톤</t>
        </is>
      </c>
      <c r="K102" t="n">
        <v>14</v>
      </c>
      <c r="L102" t="inlineStr">
        <is>
          <t>8톤</t>
        </is>
      </c>
      <c r="M102" t="n">
        <v>14</v>
      </c>
      <c r="N102" t="inlineStr">
        <is>
          <t>8톤</t>
        </is>
      </c>
      <c r="O102" t="n">
        <v>14</v>
      </c>
    </row>
    <row r="103">
      <c r="A103" t="n">
        <v>102</v>
      </c>
      <c r="B103" t="inlineStr">
        <is>
          <t>11톤</t>
        </is>
      </c>
      <c r="C103" t="n">
        <v>16</v>
      </c>
      <c r="D103" t="inlineStr">
        <is>
          <t>11톤</t>
        </is>
      </c>
      <c r="E103" t="n">
        <v>16</v>
      </c>
      <c r="F103" t="inlineStr">
        <is>
          <t>8톤</t>
        </is>
      </c>
      <c r="G103" t="n">
        <v>14</v>
      </c>
      <c r="H103" t="inlineStr">
        <is>
          <t>8톤</t>
        </is>
      </c>
      <c r="I103" t="n">
        <v>14</v>
      </c>
      <c r="J103" t="inlineStr">
        <is>
          <t>8톤</t>
        </is>
      </c>
      <c r="K103" t="n">
        <v>14</v>
      </c>
      <c r="L103" t="inlineStr">
        <is>
          <t>8톤</t>
        </is>
      </c>
      <c r="M103" t="n">
        <v>14</v>
      </c>
      <c r="N103" t="inlineStr">
        <is>
          <t>8톤</t>
        </is>
      </c>
      <c r="O103" t="n">
        <v>14</v>
      </c>
    </row>
    <row r="104">
      <c r="A104" t="n">
        <v>103</v>
      </c>
      <c r="B104" t="inlineStr">
        <is>
          <t>11톤</t>
        </is>
      </c>
      <c r="C104" t="n">
        <v>16</v>
      </c>
      <c r="D104" t="inlineStr">
        <is>
          <t>11톤</t>
        </is>
      </c>
      <c r="E104" t="n">
        <v>16</v>
      </c>
      <c r="F104" t="inlineStr">
        <is>
          <t>11톤</t>
        </is>
      </c>
      <c r="G104" t="n">
        <v>15</v>
      </c>
      <c r="H104" t="inlineStr">
        <is>
          <t>8톤</t>
        </is>
      </c>
      <c r="I104" t="n">
        <v>14</v>
      </c>
      <c r="J104" t="inlineStr">
        <is>
          <t>8톤</t>
        </is>
      </c>
      <c r="K104" t="n">
        <v>14</v>
      </c>
      <c r="L104" t="inlineStr">
        <is>
          <t>8톤</t>
        </is>
      </c>
      <c r="M104" t="n">
        <v>14</v>
      </c>
      <c r="N104" t="inlineStr">
        <is>
          <t>8톤</t>
        </is>
      </c>
      <c r="O104" t="n">
        <v>14</v>
      </c>
    </row>
    <row r="105">
      <c r="A105" t="n">
        <v>104</v>
      </c>
      <c r="B105" t="inlineStr">
        <is>
          <t>11톤</t>
        </is>
      </c>
      <c r="C105" t="n">
        <v>16</v>
      </c>
      <c r="D105" t="inlineStr">
        <is>
          <t>11톤</t>
        </is>
      </c>
      <c r="E105" t="n">
        <v>16</v>
      </c>
      <c r="F105" t="inlineStr">
        <is>
          <t>11톤</t>
        </is>
      </c>
      <c r="G105" t="n">
        <v>16</v>
      </c>
      <c r="H105" t="inlineStr">
        <is>
          <t>8톤</t>
        </is>
      </c>
      <c r="I105" t="n">
        <v>14</v>
      </c>
      <c r="J105" t="inlineStr">
        <is>
          <t>8톤</t>
        </is>
      </c>
      <c r="K105" t="n">
        <v>14</v>
      </c>
      <c r="L105" t="inlineStr">
        <is>
          <t>8톤</t>
        </is>
      </c>
      <c r="M105" t="n">
        <v>14</v>
      </c>
      <c r="N105" t="inlineStr">
        <is>
          <t>8톤</t>
        </is>
      </c>
      <c r="O105" t="n">
        <v>14</v>
      </c>
    </row>
    <row r="106">
      <c r="A106" t="n">
        <v>105</v>
      </c>
      <c r="B106" t="inlineStr">
        <is>
          <t>11톤</t>
        </is>
      </c>
      <c r="C106" t="n">
        <v>16</v>
      </c>
      <c r="D106" t="inlineStr">
        <is>
          <t>11톤</t>
        </is>
      </c>
      <c r="E106" t="n">
        <v>16</v>
      </c>
      <c r="F106" t="inlineStr">
        <is>
          <t>11톤</t>
        </is>
      </c>
      <c r="G106" t="n">
        <v>16</v>
      </c>
      <c r="H106" t="inlineStr">
        <is>
          <t>11톤</t>
        </is>
      </c>
      <c r="I106" t="n">
        <v>15</v>
      </c>
      <c r="J106" t="inlineStr">
        <is>
          <t>8톤</t>
        </is>
      </c>
      <c r="K106" t="n">
        <v>14</v>
      </c>
      <c r="L106" t="inlineStr">
        <is>
          <t>8톤</t>
        </is>
      </c>
      <c r="M106" t="n">
        <v>14</v>
      </c>
      <c r="N106" t="inlineStr">
        <is>
          <t>8톤</t>
        </is>
      </c>
      <c r="O106" t="n">
        <v>14</v>
      </c>
    </row>
    <row r="107">
      <c r="A107" t="n">
        <v>106</v>
      </c>
      <c r="B107" t="inlineStr">
        <is>
          <t>11톤</t>
        </is>
      </c>
      <c r="C107" t="n">
        <v>16</v>
      </c>
      <c r="D107" t="inlineStr">
        <is>
          <t>11톤</t>
        </is>
      </c>
      <c r="E107" t="n">
        <v>16</v>
      </c>
      <c r="F107" t="inlineStr">
        <is>
          <t>11톤</t>
        </is>
      </c>
      <c r="G107" t="n">
        <v>16</v>
      </c>
      <c r="H107" t="inlineStr">
        <is>
          <t>11톤</t>
        </is>
      </c>
      <c r="I107" t="n">
        <v>16</v>
      </c>
      <c r="J107" t="inlineStr">
        <is>
          <t>8톤</t>
        </is>
      </c>
      <c r="K107" t="n">
        <v>14</v>
      </c>
      <c r="L107" t="inlineStr">
        <is>
          <t>8톤</t>
        </is>
      </c>
      <c r="M107" t="n">
        <v>14</v>
      </c>
      <c r="N107" t="inlineStr">
        <is>
          <t>8톤</t>
        </is>
      </c>
      <c r="O107" t="n">
        <v>14</v>
      </c>
    </row>
    <row r="108">
      <c r="A108" t="n">
        <v>107</v>
      </c>
      <c r="B108" t="inlineStr">
        <is>
          <t>8톤</t>
        </is>
      </c>
      <c r="C108" t="n">
        <v>14</v>
      </c>
      <c r="D108" t="inlineStr">
        <is>
          <t>8톤</t>
        </is>
      </c>
      <c r="E108" t="n">
        <v>14</v>
      </c>
      <c r="F108" t="inlineStr">
        <is>
          <t>8톤</t>
        </is>
      </c>
      <c r="G108" t="n">
        <v>14</v>
      </c>
      <c r="H108" t="inlineStr">
        <is>
          <t>8톤</t>
        </is>
      </c>
      <c r="I108" t="n">
        <v>14</v>
      </c>
      <c r="J108" t="inlineStr">
        <is>
          <t>8톤</t>
        </is>
      </c>
      <c r="K108" t="n">
        <v>14</v>
      </c>
      <c r="L108" t="inlineStr">
        <is>
          <t>8톤</t>
        </is>
      </c>
      <c r="M108" t="n">
        <v>13</v>
      </c>
      <c r="N108" t="inlineStr">
        <is>
          <t>5톤</t>
        </is>
      </c>
      <c r="O108" t="n">
        <v>12</v>
      </c>
      <c r="P108" t="inlineStr">
        <is>
          <t>5톤</t>
        </is>
      </c>
      <c r="Q108" t="n">
        <v>12</v>
      </c>
    </row>
    <row r="109">
      <c r="A109" t="n">
        <v>108</v>
      </c>
      <c r="B109" t="inlineStr">
        <is>
          <t>8톤</t>
        </is>
      </c>
      <c r="C109" t="n">
        <v>14</v>
      </c>
      <c r="D109" t="inlineStr">
        <is>
          <t>8톤</t>
        </is>
      </c>
      <c r="E109" t="n">
        <v>14</v>
      </c>
      <c r="F109" t="inlineStr">
        <is>
          <t>8톤</t>
        </is>
      </c>
      <c r="G109" t="n">
        <v>14</v>
      </c>
      <c r="H109" t="inlineStr">
        <is>
          <t>8톤</t>
        </is>
      </c>
      <c r="I109" t="n">
        <v>14</v>
      </c>
      <c r="J109" t="inlineStr">
        <is>
          <t>8톤</t>
        </is>
      </c>
      <c r="K109" t="n">
        <v>14</v>
      </c>
      <c r="L109" t="inlineStr">
        <is>
          <t>8톤</t>
        </is>
      </c>
      <c r="M109" t="n">
        <v>14</v>
      </c>
      <c r="N109" t="inlineStr">
        <is>
          <t>5톤</t>
        </is>
      </c>
      <c r="O109" t="n">
        <v>12</v>
      </c>
      <c r="P109" t="inlineStr">
        <is>
          <t>5톤</t>
        </is>
      </c>
      <c r="Q109" t="n">
        <v>12</v>
      </c>
    </row>
    <row r="110">
      <c r="A110" t="n">
        <v>109</v>
      </c>
      <c r="B110" t="inlineStr">
        <is>
          <t>8톤</t>
        </is>
      </c>
      <c r="C110" t="n">
        <v>14</v>
      </c>
      <c r="D110" t="inlineStr">
        <is>
          <t>8톤</t>
        </is>
      </c>
      <c r="E110" t="n">
        <v>14</v>
      </c>
      <c r="F110" t="inlineStr">
        <is>
          <t>8톤</t>
        </is>
      </c>
      <c r="G110" t="n">
        <v>14</v>
      </c>
      <c r="H110" t="inlineStr">
        <is>
          <t>8톤</t>
        </is>
      </c>
      <c r="I110" t="n">
        <v>14</v>
      </c>
      <c r="J110" t="inlineStr">
        <is>
          <t>8톤</t>
        </is>
      </c>
      <c r="K110" t="n">
        <v>14</v>
      </c>
      <c r="L110" t="inlineStr">
        <is>
          <t>8톤</t>
        </is>
      </c>
      <c r="M110" t="n">
        <v>14</v>
      </c>
      <c r="N110" t="inlineStr">
        <is>
          <t>8톤</t>
        </is>
      </c>
      <c r="O110" t="n">
        <v>13</v>
      </c>
      <c r="P110" t="inlineStr">
        <is>
          <t>5톤</t>
        </is>
      </c>
      <c r="Q110" t="n">
        <v>12</v>
      </c>
    </row>
    <row r="111">
      <c r="A111" t="n">
        <v>110</v>
      </c>
      <c r="B111" t="inlineStr">
        <is>
          <t>8톤</t>
        </is>
      </c>
      <c r="C111" t="n">
        <v>14</v>
      </c>
      <c r="D111" t="inlineStr">
        <is>
          <t>8톤</t>
        </is>
      </c>
      <c r="E111" t="n">
        <v>14</v>
      </c>
      <c r="F111" t="inlineStr">
        <is>
          <t>8톤</t>
        </is>
      </c>
      <c r="G111" t="n">
        <v>14</v>
      </c>
      <c r="H111" t="inlineStr">
        <is>
          <t>8톤</t>
        </is>
      </c>
      <c r="I111" t="n">
        <v>14</v>
      </c>
      <c r="J111" t="inlineStr">
        <is>
          <t>8톤</t>
        </is>
      </c>
      <c r="K111" t="n">
        <v>14</v>
      </c>
      <c r="L111" t="inlineStr">
        <is>
          <t>8톤</t>
        </is>
      </c>
      <c r="M111" t="n">
        <v>14</v>
      </c>
      <c r="N111" t="inlineStr">
        <is>
          <t>8톤</t>
        </is>
      </c>
      <c r="O111" t="n">
        <v>14</v>
      </c>
      <c r="P111" t="inlineStr">
        <is>
          <t>5톤</t>
        </is>
      </c>
      <c r="Q111" t="n">
        <v>12</v>
      </c>
    </row>
    <row r="112">
      <c r="A112" t="n">
        <v>111</v>
      </c>
      <c r="B112" t="inlineStr">
        <is>
          <t>8톤</t>
        </is>
      </c>
      <c r="C112" t="n">
        <v>14</v>
      </c>
      <c r="D112" t="inlineStr">
        <is>
          <t>8톤</t>
        </is>
      </c>
      <c r="E112" t="n">
        <v>14</v>
      </c>
      <c r="F112" t="inlineStr">
        <is>
          <t>8톤</t>
        </is>
      </c>
      <c r="G112" t="n">
        <v>14</v>
      </c>
      <c r="H112" t="inlineStr">
        <is>
          <t>8톤</t>
        </is>
      </c>
      <c r="I112" t="n">
        <v>14</v>
      </c>
      <c r="J112" t="inlineStr">
        <is>
          <t>8톤</t>
        </is>
      </c>
      <c r="K112" t="n">
        <v>14</v>
      </c>
      <c r="L112" t="inlineStr">
        <is>
          <t>8톤</t>
        </is>
      </c>
      <c r="M112" t="n">
        <v>14</v>
      </c>
      <c r="N112" t="inlineStr">
        <is>
          <t>8톤</t>
        </is>
      </c>
      <c r="O112" t="n">
        <v>14</v>
      </c>
      <c r="P112" t="inlineStr">
        <is>
          <t>8톤</t>
        </is>
      </c>
      <c r="Q112" t="n">
        <v>13</v>
      </c>
    </row>
    <row r="113">
      <c r="A113" t="n">
        <v>112</v>
      </c>
      <c r="B113" t="inlineStr">
        <is>
          <t>8톤</t>
        </is>
      </c>
      <c r="C113" t="n">
        <v>14</v>
      </c>
      <c r="D113" t="inlineStr">
        <is>
          <t>8톤</t>
        </is>
      </c>
      <c r="E113" t="n">
        <v>14</v>
      </c>
      <c r="F113" t="inlineStr">
        <is>
          <t>8톤</t>
        </is>
      </c>
      <c r="G113" t="n">
        <v>14</v>
      </c>
      <c r="H113" t="inlineStr">
        <is>
          <t>8톤</t>
        </is>
      </c>
      <c r="I113" t="n">
        <v>14</v>
      </c>
      <c r="J113" t="inlineStr">
        <is>
          <t>8톤</t>
        </is>
      </c>
      <c r="K113" t="n">
        <v>14</v>
      </c>
      <c r="L113" t="inlineStr">
        <is>
          <t>8톤</t>
        </is>
      </c>
      <c r="M113" t="n">
        <v>14</v>
      </c>
      <c r="N113" t="inlineStr">
        <is>
          <t>8톤</t>
        </is>
      </c>
      <c r="O113" t="n">
        <v>14</v>
      </c>
      <c r="P113" t="inlineStr">
        <is>
          <t>8톤</t>
        </is>
      </c>
      <c r="Q113" t="n">
        <v>14</v>
      </c>
    </row>
    <row r="114">
      <c r="A114" t="n">
        <v>113</v>
      </c>
      <c r="B114" t="inlineStr">
        <is>
          <t>11톤</t>
        </is>
      </c>
      <c r="C114" t="n">
        <v>15</v>
      </c>
      <c r="D114" t="inlineStr">
        <is>
          <t>8톤</t>
        </is>
      </c>
      <c r="E114" t="n">
        <v>14</v>
      </c>
      <c r="F114" t="inlineStr">
        <is>
          <t>8톤</t>
        </is>
      </c>
      <c r="G114" t="n">
        <v>14</v>
      </c>
      <c r="H114" t="inlineStr">
        <is>
          <t>8톤</t>
        </is>
      </c>
      <c r="I114" t="n">
        <v>14</v>
      </c>
      <c r="J114" t="inlineStr">
        <is>
          <t>8톤</t>
        </is>
      </c>
      <c r="K114" t="n">
        <v>14</v>
      </c>
      <c r="L114" t="inlineStr">
        <is>
          <t>8톤</t>
        </is>
      </c>
      <c r="M114" t="n">
        <v>14</v>
      </c>
      <c r="N114" t="inlineStr">
        <is>
          <t>8톤</t>
        </is>
      </c>
      <c r="O114" t="n">
        <v>14</v>
      </c>
      <c r="P114" t="inlineStr">
        <is>
          <t>8톤</t>
        </is>
      </c>
      <c r="Q114" t="n">
        <v>14</v>
      </c>
    </row>
    <row r="115">
      <c r="A115" t="n">
        <v>114</v>
      </c>
      <c r="B115" t="inlineStr">
        <is>
          <t>11톤</t>
        </is>
      </c>
      <c r="C115" t="n">
        <v>16</v>
      </c>
      <c r="D115" t="inlineStr">
        <is>
          <t>8톤</t>
        </is>
      </c>
      <c r="E115" t="n">
        <v>14</v>
      </c>
      <c r="F115" t="inlineStr">
        <is>
          <t>8톤</t>
        </is>
      </c>
      <c r="G115" t="n">
        <v>14</v>
      </c>
      <c r="H115" t="inlineStr">
        <is>
          <t>8톤</t>
        </is>
      </c>
      <c r="I115" t="n">
        <v>14</v>
      </c>
      <c r="J115" t="inlineStr">
        <is>
          <t>8톤</t>
        </is>
      </c>
      <c r="K115" t="n">
        <v>14</v>
      </c>
      <c r="L115" t="inlineStr">
        <is>
          <t>8톤</t>
        </is>
      </c>
      <c r="M115" t="n">
        <v>14</v>
      </c>
      <c r="N115" t="inlineStr">
        <is>
          <t>8톤</t>
        </is>
      </c>
      <c r="O115" t="n">
        <v>14</v>
      </c>
      <c r="P115" t="inlineStr">
        <is>
          <t>8톤</t>
        </is>
      </c>
      <c r="Q115" t="n">
        <v>14</v>
      </c>
    </row>
    <row r="116">
      <c r="A116" t="n">
        <v>115</v>
      </c>
      <c r="B116" t="inlineStr">
        <is>
          <t>11톤</t>
        </is>
      </c>
      <c r="C116" t="n">
        <v>16</v>
      </c>
      <c r="D116" t="inlineStr">
        <is>
          <t>11톤</t>
        </is>
      </c>
      <c r="E116" t="n">
        <v>15</v>
      </c>
      <c r="F116" t="inlineStr">
        <is>
          <t>8톤</t>
        </is>
      </c>
      <c r="G116" t="n">
        <v>14</v>
      </c>
      <c r="H116" t="inlineStr">
        <is>
          <t>8톤</t>
        </is>
      </c>
      <c r="I116" t="n">
        <v>14</v>
      </c>
      <c r="J116" t="inlineStr">
        <is>
          <t>8톤</t>
        </is>
      </c>
      <c r="K116" t="n">
        <v>14</v>
      </c>
      <c r="L116" t="inlineStr">
        <is>
          <t>8톤</t>
        </is>
      </c>
      <c r="M116" t="n">
        <v>14</v>
      </c>
      <c r="N116" t="inlineStr">
        <is>
          <t>8톤</t>
        </is>
      </c>
      <c r="O116" t="n">
        <v>14</v>
      </c>
      <c r="P116" t="inlineStr">
        <is>
          <t>8톤</t>
        </is>
      </c>
      <c r="Q116" t="n">
        <v>14</v>
      </c>
    </row>
    <row r="117">
      <c r="A117" t="n">
        <v>116</v>
      </c>
      <c r="B117" t="inlineStr">
        <is>
          <t>11톤</t>
        </is>
      </c>
      <c r="C117" t="n">
        <v>16</v>
      </c>
      <c r="D117" t="inlineStr">
        <is>
          <t>11톤</t>
        </is>
      </c>
      <c r="E117" t="n">
        <v>16</v>
      </c>
      <c r="F117" t="inlineStr">
        <is>
          <t>8톤</t>
        </is>
      </c>
      <c r="G117" t="n">
        <v>14</v>
      </c>
      <c r="H117" t="inlineStr">
        <is>
          <t>8톤</t>
        </is>
      </c>
      <c r="I117" t="n">
        <v>14</v>
      </c>
      <c r="J117" t="inlineStr">
        <is>
          <t>8톤</t>
        </is>
      </c>
      <c r="K117" t="n">
        <v>14</v>
      </c>
      <c r="L117" t="inlineStr">
        <is>
          <t>8톤</t>
        </is>
      </c>
      <c r="M117" t="n">
        <v>14</v>
      </c>
      <c r="N117" t="inlineStr">
        <is>
          <t>8톤</t>
        </is>
      </c>
      <c r="O117" t="n">
        <v>14</v>
      </c>
      <c r="P117" t="inlineStr">
        <is>
          <t>8톤</t>
        </is>
      </c>
      <c r="Q117" t="n">
        <v>14</v>
      </c>
    </row>
    <row r="118">
      <c r="A118" t="n">
        <v>117</v>
      </c>
      <c r="B118" t="inlineStr">
        <is>
          <t>11톤</t>
        </is>
      </c>
      <c r="C118" t="n">
        <v>16</v>
      </c>
      <c r="D118" t="inlineStr">
        <is>
          <t>11톤</t>
        </is>
      </c>
      <c r="E118" t="n">
        <v>16</v>
      </c>
      <c r="F118" t="inlineStr">
        <is>
          <t>11톤</t>
        </is>
      </c>
      <c r="G118" t="n">
        <v>15</v>
      </c>
      <c r="H118" t="inlineStr">
        <is>
          <t>8톤</t>
        </is>
      </c>
      <c r="I118" t="n">
        <v>14</v>
      </c>
      <c r="J118" t="inlineStr">
        <is>
          <t>8톤</t>
        </is>
      </c>
      <c r="K118" t="n">
        <v>14</v>
      </c>
      <c r="L118" t="inlineStr">
        <is>
          <t>8톤</t>
        </is>
      </c>
      <c r="M118" t="n">
        <v>14</v>
      </c>
      <c r="N118" t="inlineStr">
        <is>
          <t>8톤</t>
        </is>
      </c>
      <c r="O118" t="n">
        <v>14</v>
      </c>
      <c r="P118" t="inlineStr">
        <is>
          <t>8톤</t>
        </is>
      </c>
      <c r="Q118" t="n">
        <v>14</v>
      </c>
    </row>
    <row r="119">
      <c r="A119" t="n">
        <v>118</v>
      </c>
      <c r="B119" t="inlineStr">
        <is>
          <t>11톤</t>
        </is>
      </c>
      <c r="C119" t="n">
        <v>16</v>
      </c>
      <c r="D119" t="inlineStr">
        <is>
          <t>11톤</t>
        </is>
      </c>
      <c r="E119" t="n">
        <v>16</v>
      </c>
      <c r="F119" t="inlineStr">
        <is>
          <t>11톤</t>
        </is>
      </c>
      <c r="G119" t="n">
        <v>16</v>
      </c>
      <c r="H119" t="inlineStr">
        <is>
          <t>8톤</t>
        </is>
      </c>
      <c r="I119" t="n">
        <v>14</v>
      </c>
      <c r="J119" t="inlineStr">
        <is>
          <t>8톤</t>
        </is>
      </c>
      <c r="K119" t="n">
        <v>14</v>
      </c>
      <c r="L119" t="inlineStr">
        <is>
          <t>8톤</t>
        </is>
      </c>
      <c r="M119" t="n">
        <v>14</v>
      </c>
      <c r="N119" t="inlineStr">
        <is>
          <t>8톤</t>
        </is>
      </c>
      <c r="O119" t="n">
        <v>14</v>
      </c>
      <c r="P119" t="inlineStr">
        <is>
          <t>8톤</t>
        </is>
      </c>
      <c r="Q119" t="n">
        <v>14</v>
      </c>
    </row>
    <row r="120">
      <c r="A120" t="n">
        <v>119</v>
      </c>
      <c r="B120" t="inlineStr">
        <is>
          <t>11톤</t>
        </is>
      </c>
      <c r="C120" t="n">
        <v>16</v>
      </c>
      <c r="D120" t="inlineStr">
        <is>
          <t>11톤</t>
        </is>
      </c>
      <c r="E120" t="n">
        <v>16</v>
      </c>
      <c r="F120" t="inlineStr">
        <is>
          <t>11톤</t>
        </is>
      </c>
      <c r="G120" t="n">
        <v>16</v>
      </c>
      <c r="H120" t="inlineStr">
        <is>
          <t>11톤</t>
        </is>
      </c>
      <c r="I120" t="n">
        <v>15</v>
      </c>
      <c r="J120" t="inlineStr">
        <is>
          <t>8톤</t>
        </is>
      </c>
      <c r="K120" t="n">
        <v>14</v>
      </c>
      <c r="L120" t="inlineStr">
        <is>
          <t>8톤</t>
        </is>
      </c>
      <c r="M120" t="n">
        <v>14</v>
      </c>
      <c r="N120" t="inlineStr">
        <is>
          <t>8톤</t>
        </is>
      </c>
      <c r="O120" t="n">
        <v>14</v>
      </c>
      <c r="P120" t="inlineStr">
        <is>
          <t>8톤</t>
        </is>
      </c>
      <c r="Q120" t="n">
        <v>14</v>
      </c>
    </row>
    <row r="121">
      <c r="A121" t="n">
        <v>120</v>
      </c>
      <c r="B121" t="inlineStr">
        <is>
          <t>11톤</t>
        </is>
      </c>
      <c r="C121" t="n">
        <v>16</v>
      </c>
      <c r="D121" t="inlineStr">
        <is>
          <t>11톤</t>
        </is>
      </c>
      <c r="E121" t="n">
        <v>16</v>
      </c>
      <c r="F121" t="inlineStr">
        <is>
          <t>11톤</t>
        </is>
      </c>
      <c r="G121" t="n">
        <v>16</v>
      </c>
      <c r="H121" t="inlineStr">
        <is>
          <t>11톤</t>
        </is>
      </c>
      <c r="I121" t="n">
        <v>16</v>
      </c>
      <c r="J121" t="inlineStr">
        <is>
          <t>8톤</t>
        </is>
      </c>
      <c r="K121" t="n">
        <v>14</v>
      </c>
      <c r="L121" t="inlineStr">
        <is>
          <t>8톤</t>
        </is>
      </c>
      <c r="M121" t="n">
        <v>14</v>
      </c>
      <c r="N121" t="inlineStr">
        <is>
          <t>8톤</t>
        </is>
      </c>
      <c r="O121" t="n">
        <v>14</v>
      </c>
      <c r="P121" t="inlineStr">
        <is>
          <t>8톤</t>
        </is>
      </c>
      <c r="Q121" t="n">
        <v>14</v>
      </c>
    </row>
    <row r="122">
      <c r="A122" t="n">
        <v>121</v>
      </c>
      <c r="B122" t="inlineStr">
        <is>
          <t>8톤</t>
        </is>
      </c>
      <c r="C122" t="n">
        <v>14</v>
      </c>
      <c r="D122" t="inlineStr">
        <is>
          <t>8톤</t>
        </is>
      </c>
      <c r="E122" t="n">
        <v>14</v>
      </c>
      <c r="F122" t="inlineStr">
        <is>
          <t>8톤</t>
        </is>
      </c>
      <c r="G122" t="n">
        <v>14</v>
      </c>
      <c r="H122" t="inlineStr">
        <is>
          <t>8톤</t>
        </is>
      </c>
      <c r="I122" t="n">
        <v>14</v>
      </c>
      <c r="J122" t="inlineStr">
        <is>
          <t>8톤</t>
        </is>
      </c>
      <c r="K122" t="n">
        <v>14</v>
      </c>
      <c r="L122" t="inlineStr">
        <is>
          <t>8톤</t>
        </is>
      </c>
      <c r="M122" t="n">
        <v>14</v>
      </c>
      <c r="N122" t="inlineStr">
        <is>
          <t>8톤</t>
        </is>
      </c>
      <c r="O122" t="n">
        <v>13</v>
      </c>
      <c r="P122" t="inlineStr">
        <is>
          <t>5톤</t>
        </is>
      </c>
      <c r="Q122" t="n">
        <v>12</v>
      </c>
      <c r="R122" t="inlineStr">
        <is>
          <t>5톤</t>
        </is>
      </c>
      <c r="S122" t="n">
        <v>12</v>
      </c>
    </row>
    <row r="123">
      <c r="A123" t="n">
        <v>122</v>
      </c>
      <c r="B123" t="inlineStr">
        <is>
          <t>8톤</t>
        </is>
      </c>
      <c r="C123" t="n">
        <v>14</v>
      </c>
      <c r="D123" t="inlineStr">
        <is>
          <t>8톤</t>
        </is>
      </c>
      <c r="E123" t="n">
        <v>14</v>
      </c>
      <c r="F123" t="inlineStr">
        <is>
          <t>8톤</t>
        </is>
      </c>
      <c r="G123" t="n">
        <v>14</v>
      </c>
      <c r="H123" t="inlineStr">
        <is>
          <t>8톤</t>
        </is>
      </c>
      <c r="I123" t="n">
        <v>14</v>
      </c>
      <c r="J123" t="inlineStr">
        <is>
          <t>8톤</t>
        </is>
      </c>
      <c r="K123" t="n">
        <v>14</v>
      </c>
      <c r="L123" t="inlineStr">
        <is>
          <t>8톤</t>
        </is>
      </c>
      <c r="M123" t="n">
        <v>14</v>
      </c>
      <c r="N123" t="inlineStr">
        <is>
          <t>8톤</t>
        </is>
      </c>
      <c r="O123" t="n">
        <v>14</v>
      </c>
      <c r="P123" t="inlineStr">
        <is>
          <t>5톤</t>
        </is>
      </c>
      <c r="Q123" t="n">
        <v>12</v>
      </c>
      <c r="R123" t="inlineStr">
        <is>
          <t>5톤</t>
        </is>
      </c>
      <c r="S123" t="n">
        <v>12</v>
      </c>
    </row>
    <row r="124">
      <c r="A124" t="n">
        <v>123</v>
      </c>
      <c r="B124" t="inlineStr">
        <is>
          <t>8톤</t>
        </is>
      </c>
      <c r="C124" t="n">
        <v>14</v>
      </c>
      <c r="D124" t="inlineStr">
        <is>
          <t>8톤</t>
        </is>
      </c>
      <c r="E124" t="n">
        <v>14</v>
      </c>
      <c r="F124" t="inlineStr">
        <is>
          <t>8톤</t>
        </is>
      </c>
      <c r="G124" t="n">
        <v>14</v>
      </c>
      <c r="H124" t="inlineStr">
        <is>
          <t>8톤</t>
        </is>
      </c>
      <c r="I124" t="n">
        <v>14</v>
      </c>
      <c r="J124" t="inlineStr">
        <is>
          <t>8톤</t>
        </is>
      </c>
      <c r="K124" t="n">
        <v>14</v>
      </c>
      <c r="L124" t="inlineStr">
        <is>
          <t>8톤</t>
        </is>
      </c>
      <c r="M124" t="n">
        <v>14</v>
      </c>
      <c r="N124" t="inlineStr">
        <is>
          <t>8톤</t>
        </is>
      </c>
      <c r="O124" t="n">
        <v>14</v>
      </c>
      <c r="P124" t="inlineStr">
        <is>
          <t>8톤</t>
        </is>
      </c>
      <c r="Q124" t="n">
        <v>13</v>
      </c>
      <c r="R124" t="inlineStr">
        <is>
          <t>5톤</t>
        </is>
      </c>
      <c r="S124" t="n">
        <v>12</v>
      </c>
    </row>
    <row r="125">
      <c r="A125" t="n">
        <v>124</v>
      </c>
      <c r="B125" t="inlineStr">
        <is>
          <t>8톤</t>
        </is>
      </c>
      <c r="C125" t="n">
        <v>14</v>
      </c>
      <c r="D125" t="inlineStr">
        <is>
          <t>8톤</t>
        </is>
      </c>
      <c r="E125" t="n">
        <v>14</v>
      </c>
      <c r="F125" t="inlineStr">
        <is>
          <t>8톤</t>
        </is>
      </c>
      <c r="G125" t="n">
        <v>14</v>
      </c>
      <c r="H125" t="inlineStr">
        <is>
          <t>8톤</t>
        </is>
      </c>
      <c r="I125" t="n">
        <v>14</v>
      </c>
      <c r="J125" t="inlineStr">
        <is>
          <t>8톤</t>
        </is>
      </c>
      <c r="K125" t="n">
        <v>14</v>
      </c>
      <c r="L125" t="inlineStr">
        <is>
          <t>8톤</t>
        </is>
      </c>
      <c r="M125" t="n">
        <v>14</v>
      </c>
      <c r="N125" t="inlineStr">
        <is>
          <t>8톤</t>
        </is>
      </c>
      <c r="O125" t="n">
        <v>14</v>
      </c>
      <c r="P125" t="inlineStr">
        <is>
          <t>8톤</t>
        </is>
      </c>
      <c r="Q125" t="n">
        <v>14</v>
      </c>
      <c r="R125" t="inlineStr">
        <is>
          <t>5톤</t>
        </is>
      </c>
      <c r="S125" t="n">
        <v>12</v>
      </c>
    </row>
    <row r="126">
      <c r="A126" t="n">
        <v>125</v>
      </c>
      <c r="B126" t="inlineStr">
        <is>
          <t>8톤</t>
        </is>
      </c>
      <c r="C126" t="n">
        <v>14</v>
      </c>
      <c r="D126" t="inlineStr">
        <is>
          <t>8톤</t>
        </is>
      </c>
      <c r="E126" t="n">
        <v>14</v>
      </c>
      <c r="F126" t="inlineStr">
        <is>
          <t>8톤</t>
        </is>
      </c>
      <c r="G126" t="n">
        <v>14</v>
      </c>
      <c r="H126" t="inlineStr">
        <is>
          <t>8톤</t>
        </is>
      </c>
      <c r="I126" t="n">
        <v>14</v>
      </c>
      <c r="J126" t="inlineStr">
        <is>
          <t>8톤</t>
        </is>
      </c>
      <c r="K126" t="n">
        <v>14</v>
      </c>
      <c r="L126" t="inlineStr">
        <is>
          <t>8톤</t>
        </is>
      </c>
      <c r="M126" t="n">
        <v>14</v>
      </c>
      <c r="N126" t="inlineStr">
        <is>
          <t>8톤</t>
        </is>
      </c>
      <c r="O126" t="n">
        <v>14</v>
      </c>
      <c r="P126" t="inlineStr">
        <is>
          <t>8톤</t>
        </is>
      </c>
      <c r="Q126" t="n">
        <v>14</v>
      </c>
      <c r="R126" t="inlineStr">
        <is>
          <t>8톤</t>
        </is>
      </c>
      <c r="S126" t="n">
        <v>13</v>
      </c>
    </row>
    <row r="127">
      <c r="A127" t="n">
        <v>126</v>
      </c>
      <c r="B127" t="inlineStr">
        <is>
          <t>8톤</t>
        </is>
      </c>
      <c r="C127" t="n">
        <v>14</v>
      </c>
      <c r="D127" t="inlineStr">
        <is>
          <t>8톤</t>
        </is>
      </c>
      <c r="E127" t="n">
        <v>14</v>
      </c>
      <c r="F127" t="inlineStr">
        <is>
          <t>8톤</t>
        </is>
      </c>
      <c r="G127" t="n">
        <v>14</v>
      </c>
      <c r="H127" t="inlineStr">
        <is>
          <t>8톤</t>
        </is>
      </c>
      <c r="I127" t="n">
        <v>14</v>
      </c>
      <c r="J127" t="inlineStr">
        <is>
          <t>8톤</t>
        </is>
      </c>
      <c r="K127" t="n">
        <v>14</v>
      </c>
      <c r="L127" t="inlineStr">
        <is>
          <t>8톤</t>
        </is>
      </c>
      <c r="M127" t="n">
        <v>14</v>
      </c>
      <c r="N127" t="inlineStr">
        <is>
          <t>8톤</t>
        </is>
      </c>
      <c r="O127" t="n">
        <v>14</v>
      </c>
      <c r="P127" t="inlineStr">
        <is>
          <t>8톤</t>
        </is>
      </c>
      <c r="Q127" t="n">
        <v>14</v>
      </c>
      <c r="R127" t="inlineStr">
        <is>
          <t>8톤</t>
        </is>
      </c>
      <c r="S127" t="n">
        <v>14</v>
      </c>
    </row>
    <row r="128">
      <c r="A128" t="n">
        <v>127</v>
      </c>
      <c r="B128" t="inlineStr">
        <is>
          <t>11톤</t>
        </is>
      </c>
      <c r="C128" t="n">
        <v>15</v>
      </c>
      <c r="D128" t="inlineStr">
        <is>
          <t>8톤</t>
        </is>
      </c>
      <c r="E128" t="n">
        <v>14</v>
      </c>
      <c r="F128" t="inlineStr">
        <is>
          <t>8톤</t>
        </is>
      </c>
      <c r="G128" t="n">
        <v>14</v>
      </c>
      <c r="H128" t="inlineStr">
        <is>
          <t>8톤</t>
        </is>
      </c>
      <c r="I128" t="n">
        <v>14</v>
      </c>
      <c r="J128" t="inlineStr">
        <is>
          <t>8톤</t>
        </is>
      </c>
      <c r="K128" t="n">
        <v>14</v>
      </c>
      <c r="L128" t="inlineStr">
        <is>
          <t>8톤</t>
        </is>
      </c>
      <c r="M128" t="n">
        <v>14</v>
      </c>
      <c r="N128" t="inlineStr">
        <is>
          <t>8톤</t>
        </is>
      </c>
      <c r="O128" t="n">
        <v>14</v>
      </c>
      <c r="P128" t="inlineStr">
        <is>
          <t>8톤</t>
        </is>
      </c>
      <c r="Q128" t="n">
        <v>14</v>
      </c>
      <c r="R128" t="inlineStr">
        <is>
          <t>8톤</t>
        </is>
      </c>
      <c r="S128" t="n">
        <v>14</v>
      </c>
    </row>
    <row r="129">
      <c r="A129" t="n">
        <v>128</v>
      </c>
      <c r="B129" t="inlineStr">
        <is>
          <t>11톤</t>
        </is>
      </c>
      <c r="C129" t="n">
        <v>16</v>
      </c>
      <c r="D129" t="inlineStr">
        <is>
          <t>8톤</t>
        </is>
      </c>
      <c r="E129" t="n">
        <v>14</v>
      </c>
      <c r="F129" t="inlineStr">
        <is>
          <t>8톤</t>
        </is>
      </c>
      <c r="G129" t="n">
        <v>14</v>
      </c>
      <c r="H129" t="inlineStr">
        <is>
          <t>8톤</t>
        </is>
      </c>
      <c r="I129" t="n">
        <v>14</v>
      </c>
      <c r="J129" t="inlineStr">
        <is>
          <t>8톤</t>
        </is>
      </c>
      <c r="K129" t="n">
        <v>14</v>
      </c>
      <c r="L129" t="inlineStr">
        <is>
          <t>8톤</t>
        </is>
      </c>
      <c r="M129" t="n">
        <v>14</v>
      </c>
      <c r="N129" t="inlineStr">
        <is>
          <t>8톤</t>
        </is>
      </c>
      <c r="O129" t="n">
        <v>14</v>
      </c>
      <c r="P129" t="inlineStr">
        <is>
          <t>8톤</t>
        </is>
      </c>
      <c r="Q129" t="n">
        <v>14</v>
      </c>
      <c r="R129" t="inlineStr">
        <is>
          <t>8톤</t>
        </is>
      </c>
      <c r="S129" t="n">
        <v>14</v>
      </c>
    </row>
    <row r="130">
      <c r="A130" t="n">
        <v>129</v>
      </c>
      <c r="B130" t="inlineStr">
        <is>
          <t>11톤</t>
        </is>
      </c>
      <c r="C130" t="n">
        <v>16</v>
      </c>
      <c r="D130" t="inlineStr">
        <is>
          <t>11톤</t>
        </is>
      </c>
      <c r="E130" t="n">
        <v>15</v>
      </c>
      <c r="F130" t="inlineStr">
        <is>
          <t>8톤</t>
        </is>
      </c>
      <c r="G130" t="n">
        <v>14</v>
      </c>
      <c r="H130" t="inlineStr">
        <is>
          <t>8톤</t>
        </is>
      </c>
      <c r="I130" t="n">
        <v>14</v>
      </c>
      <c r="J130" t="inlineStr">
        <is>
          <t>8톤</t>
        </is>
      </c>
      <c r="K130" t="n">
        <v>14</v>
      </c>
      <c r="L130" t="inlineStr">
        <is>
          <t>8톤</t>
        </is>
      </c>
      <c r="M130" t="n">
        <v>14</v>
      </c>
      <c r="N130" t="inlineStr">
        <is>
          <t>8톤</t>
        </is>
      </c>
      <c r="O130" t="n">
        <v>14</v>
      </c>
      <c r="P130" t="inlineStr">
        <is>
          <t>8톤</t>
        </is>
      </c>
      <c r="Q130" t="n">
        <v>14</v>
      </c>
      <c r="R130" t="inlineStr">
        <is>
          <t>8톤</t>
        </is>
      </c>
      <c r="S130" t="n">
        <v>14</v>
      </c>
    </row>
    <row r="131">
      <c r="A131" t="n">
        <v>130</v>
      </c>
      <c r="B131" t="inlineStr">
        <is>
          <t>11톤</t>
        </is>
      </c>
      <c r="C131" t="n">
        <v>16</v>
      </c>
      <c r="D131" t="inlineStr">
        <is>
          <t>11톤</t>
        </is>
      </c>
      <c r="E131" t="n">
        <v>16</v>
      </c>
      <c r="F131" t="inlineStr">
        <is>
          <t>8톤</t>
        </is>
      </c>
      <c r="G131" t="n">
        <v>14</v>
      </c>
      <c r="H131" t="inlineStr">
        <is>
          <t>8톤</t>
        </is>
      </c>
      <c r="I131" t="n">
        <v>14</v>
      </c>
      <c r="J131" t="inlineStr">
        <is>
          <t>8톤</t>
        </is>
      </c>
      <c r="K131" t="n">
        <v>14</v>
      </c>
      <c r="L131" t="inlineStr">
        <is>
          <t>8톤</t>
        </is>
      </c>
      <c r="M131" t="n">
        <v>14</v>
      </c>
      <c r="N131" t="inlineStr">
        <is>
          <t>8톤</t>
        </is>
      </c>
      <c r="O131" t="n">
        <v>14</v>
      </c>
      <c r="P131" t="inlineStr">
        <is>
          <t>8톤</t>
        </is>
      </c>
      <c r="Q131" t="n">
        <v>14</v>
      </c>
      <c r="R131" t="inlineStr">
        <is>
          <t>8톤</t>
        </is>
      </c>
      <c r="S131" t="n">
        <v>14</v>
      </c>
    </row>
    <row r="132">
      <c r="A132" t="n">
        <v>131</v>
      </c>
      <c r="B132" t="inlineStr">
        <is>
          <t>11톤</t>
        </is>
      </c>
      <c r="C132" t="n">
        <v>16</v>
      </c>
      <c r="D132" t="inlineStr">
        <is>
          <t>11톤</t>
        </is>
      </c>
      <c r="E132" t="n">
        <v>16</v>
      </c>
      <c r="F132" t="inlineStr">
        <is>
          <t>11톤</t>
        </is>
      </c>
      <c r="G132" t="n">
        <v>15</v>
      </c>
      <c r="H132" t="inlineStr">
        <is>
          <t>8톤</t>
        </is>
      </c>
      <c r="I132" t="n">
        <v>14</v>
      </c>
      <c r="J132" t="inlineStr">
        <is>
          <t>8톤</t>
        </is>
      </c>
      <c r="K132" t="n">
        <v>14</v>
      </c>
      <c r="L132" t="inlineStr">
        <is>
          <t>8톤</t>
        </is>
      </c>
      <c r="M132" t="n">
        <v>14</v>
      </c>
      <c r="N132" t="inlineStr">
        <is>
          <t>8톤</t>
        </is>
      </c>
      <c r="O132" t="n">
        <v>14</v>
      </c>
      <c r="P132" t="inlineStr">
        <is>
          <t>8톤</t>
        </is>
      </c>
      <c r="Q132" t="n">
        <v>14</v>
      </c>
      <c r="R132" t="inlineStr">
        <is>
          <t>8톤</t>
        </is>
      </c>
      <c r="S132" t="n">
        <v>14</v>
      </c>
    </row>
    <row r="133">
      <c r="A133" t="n">
        <v>132</v>
      </c>
      <c r="B133" t="inlineStr">
        <is>
          <t>11톤</t>
        </is>
      </c>
      <c r="C133" t="n">
        <v>16</v>
      </c>
      <c r="D133" t="inlineStr">
        <is>
          <t>11톤</t>
        </is>
      </c>
      <c r="E133" t="n">
        <v>16</v>
      </c>
      <c r="F133" t="inlineStr">
        <is>
          <t>11톤</t>
        </is>
      </c>
      <c r="G133" t="n">
        <v>16</v>
      </c>
      <c r="H133" t="inlineStr">
        <is>
          <t>8톤</t>
        </is>
      </c>
      <c r="I133" t="n">
        <v>14</v>
      </c>
      <c r="J133" t="inlineStr">
        <is>
          <t>8톤</t>
        </is>
      </c>
      <c r="K133" t="n">
        <v>14</v>
      </c>
      <c r="L133" t="inlineStr">
        <is>
          <t>8톤</t>
        </is>
      </c>
      <c r="M133" t="n">
        <v>14</v>
      </c>
      <c r="N133" t="inlineStr">
        <is>
          <t>8톤</t>
        </is>
      </c>
      <c r="O133" t="n">
        <v>14</v>
      </c>
      <c r="P133" t="inlineStr">
        <is>
          <t>8톤</t>
        </is>
      </c>
      <c r="Q133" t="n">
        <v>14</v>
      </c>
      <c r="R133" t="inlineStr">
        <is>
          <t>8톤</t>
        </is>
      </c>
      <c r="S133" t="n">
        <v>14</v>
      </c>
    </row>
    <row r="134">
      <c r="A134" t="n">
        <v>133</v>
      </c>
      <c r="B134" t="inlineStr">
        <is>
          <t>11톤</t>
        </is>
      </c>
      <c r="C134" t="n">
        <v>16</v>
      </c>
      <c r="D134" t="inlineStr">
        <is>
          <t>11톤</t>
        </is>
      </c>
      <c r="E134" t="n">
        <v>16</v>
      </c>
      <c r="F134" t="inlineStr">
        <is>
          <t>11톤</t>
        </is>
      </c>
      <c r="G134" t="n">
        <v>16</v>
      </c>
      <c r="H134" t="inlineStr">
        <is>
          <t>11톤</t>
        </is>
      </c>
      <c r="I134" t="n">
        <v>15</v>
      </c>
      <c r="J134" t="inlineStr">
        <is>
          <t>8톤</t>
        </is>
      </c>
      <c r="K134" t="n">
        <v>14</v>
      </c>
      <c r="L134" t="inlineStr">
        <is>
          <t>8톤</t>
        </is>
      </c>
      <c r="M134" t="n">
        <v>14</v>
      </c>
      <c r="N134" t="inlineStr">
        <is>
          <t>8톤</t>
        </is>
      </c>
      <c r="O134" t="n">
        <v>14</v>
      </c>
      <c r="P134" t="inlineStr">
        <is>
          <t>8톤</t>
        </is>
      </c>
      <c r="Q134" t="n">
        <v>14</v>
      </c>
      <c r="R134" t="inlineStr">
        <is>
          <t>8톤</t>
        </is>
      </c>
      <c r="S134" t="n">
        <v>14</v>
      </c>
    </row>
    <row r="135">
      <c r="A135" t="n">
        <v>134</v>
      </c>
      <c r="B135" t="inlineStr">
        <is>
          <t>11톤</t>
        </is>
      </c>
      <c r="C135" t="n">
        <v>16</v>
      </c>
      <c r="D135" t="inlineStr">
        <is>
          <t>11톤</t>
        </is>
      </c>
      <c r="E135" t="n">
        <v>16</v>
      </c>
      <c r="F135" t="inlineStr">
        <is>
          <t>11톤</t>
        </is>
      </c>
      <c r="G135" t="n">
        <v>16</v>
      </c>
      <c r="H135" t="inlineStr">
        <is>
          <t>11톤</t>
        </is>
      </c>
      <c r="I135" t="n">
        <v>16</v>
      </c>
      <c r="J135" t="inlineStr">
        <is>
          <t>8톤</t>
        </is>
      </c>
      <c r="K135" t="n">
        <v>14</v>
      </c>
      <c r="L135" t="inlineStr">
        <is>
          <t>8톤</t>
        </is>
      </c>
      <c r="M135" t="n">
        <v>14</v>
      </c>
      <c r="N135" t="inlineStr">
        <is>
          <t>8톤</t>
        </is>
      </c>
      <c r="O135" t="n">
        <v>14</v>
      </c>
      <c r="P135" t="inlineStr">
        <is>
          <t>8톤</t>
        </is>
      </c>
      <c r="Q135" t="n">
        <v>14</v>
      </c>
      <c r="R135" t="inlineStr">
        <is>
          <t>8톤</t>
        </is>
      </c>
      <c r="S135" t="n">
        <v>14</v>
      </c>
    </row>
    <row r="136">
      <c r="A136" t="n">
        <v>135</v>
      </c>
      <c r="B136" t="inlineStr">
        <is>
          <t>8톤</t>
        </is>
      </c>
      <c r="C136" t="n">
        <v>14</v>
      </c>
      <c r="D136" t="inlineStr">
        <is>
          <t>8톤</t>
        </is>
      </c>
      <c r="E136" t="n">
        <v>14</v>
      </c>
      <c r="F136" t="inlineStr">
        <is>
          <t>8톤</t>
        </is>
      </c>
      <c r="G136" t="n">
        <v>14</v>
      </c>
      <c r="H136" t="inlineStr">
        <is>
          <t>8톤</t>
        </is>
      </c>
      <c r="I136" t="n">
        <v>14</v>
      </c>
      <c r="J136" t="inlineStr">
        <is>
          <t>8톤</t>
        </is>
      </c>
      <c r="K136" t="n">
        <v>14</v>
      </c>
      <c r="L136" t="inlineStr">
        <is>
          <t>8톤</t>
        </is>
      </c>
      <c r="M136" t="n">
        <v>14</v>
      </c>
      <c r="N136" t="inlineStr">
        <is>
          <t>8톤</t>
        </is>
      </c>
      <c r="O136" t="n">
        <v>14</v>
      </c>
      <c r="P136" t="inlineStr">
        <is>
          <t>8톤</t>
        </is>
      </c>
      <c r="Q136" t="n">
        <v>13</v>
      </c>
      <c r="R136" t="inlineStr">
        <is>
          <t>5톤</t>
        </is>
      </c>
      <c r="S136" t="n">
        <v>12</v>
      </c>
      <c r="T136" t="inlineStr">
        <is>
          <t>5톤</t>
        </is>
      </c>
      <c r="U136" t="n">
        <v>12</v>
      </c>
    </row>
    <row r="137">
      <c r="A137" t="n">
        <v>136</v>
      </c>
      <c r="B137" t="inlineStr">
        <is>
          <t>8톤</t>
        </is>
      </c>
      <c r="C137" t="n">
        <v>14</v>
      </c>
      <c r="D137" t="inlineStr">
        <is>
          <t>8톤</t>
        </is>
      </c>
      <c r="E137" t="n">
        <v>14</v>
      </c>
      <c r="F137" t="inlineStr">
        <is>
          <t>8톤</t>
        </is>
      </c>
      <c r="G137" t="n">
        <v>14</v>
      </c>
      <c r="H137" t="inlineStr">
        <is>
          <t>8톤</t>
        </is>
      </c>
      <c r="I137" t="n">
        <v>14</v>
      </c>
      <c r="J137" t="inlineStr">
        <is>
          <t>8톤</t>
        </is>
      </c>
      <c r="K137" t="n">
        <v>14</v>
      </c>
      <c r="L137" t="inlineStr">
        <is>
          <t>8톤</t>
        </is>
      </c>
      <c r="M137" t="n">
        <v>14</v>
      </c>
      <c r="N137" t="inlineStr">
        <is>
          <t>8톤</t>
        </is>
      </c>
      <c r="O137" t="n">
        <v>14</v>
      </c>
      <c r="P137" t="inlineStr">
        <is>
          <t>8톤</t>
        </is>
      </c>
      <c r="Q137" t="n">
        <v>14</v>
      </c>
      <c r="R137" t="inlineStr">
        <is>
          <t>5톤</t>
        </is>
      </c>
      <c r="S137" t="n">
        <v>12</v>
      </c>
      <c r="T137" t="inlineStr">
        <is>
          <t>5톤</t>
        </is>
      </c>
      <c r="U137" t="n">
        <v>12</v>
      </c>
    </row>
    <row r="138">
      <c r="A138" t="n">
        <v>137</v>
      </c>
      <c r="B138" t="inlineStr">
        <is>
          <t>8톤</t>
        </is>
      </c>
      <c r="C138" t="n">
        <v>14</v>
      </c>
      <c r="D138" t="inlineStr">
        <is>
          <t>8톤</t>
        </is>
      </c>
      <c r="E138" t="n">
        <v>14</v>
      </c>
      <c r="F138" t="inlineStr">
        <is>
          <t>8톤</t>
        </is>
      </c>
      <c r="G138" t="n">
        <v>14</v>
      </c>
      <c r="H138" t="inlineStr">
        <is>
          <t>8톤</t>
        </is>
      </c>
      <c r="I138" t="n">
        <v>14</v>
      </c>
      <c r="J138" t="inlineStr">
        <is>
          <t>8톤</t>
        </is>
      </c>
      <c r="K138" t="n">
        <v>14</v>
      </c>
      <c r="L138" t="inlineStr">
        <is>
          <t>8톤</t>
        </is>
      </c>
      <c r="M138" t="n">
        <v>14</v>
      </c>
      <c r="N138" t="inlineStr">
        <is>
          <t>8톤</t>
        </is>
      </c>
      <c r="O138" t="n">
        <v>14</v>
      </c>
      <c r="P138" t="inlineStr">
        <is>
          <t>8톤</t>
        </is>
      </c>
      <c r="Q138" t="n">
        <v>14</v>
      </c>
      <c r="R138" t="inlineStr">
        <is>
          <t>8톤</t>
        </is>
      </c>
      <c r="S138" t="n">
        <v>13</v>
      </c>
      <c r="T138" t="inlineStr">
        <is>
          <t>5톤</t>
        </is>
      </c>
      <c r="U138" t="n">
        <v>12</v>
      </c>
    </row>
    <row r="139">
      <c r="A139" t="n">
        <v>138</v>
      </c>
      <c r="B139" t="inlineStr">
        <is>
          <t>8톤</t>
        </is>
      </c>
      <c r="C139" t="n">
        <v>14</v>
      </c>
      <c r="D139" t="inlineStr">
        <is>
          <t>8톤</t>
        </is>
      </c>
      <c r="E139" t="n">
        <v>14</v>
      </c>
      <c r="F139" t="inlineStr">
        <is>
          <t>8톤</t>
        </is>
      </c>
      <c r="G139" t="n">
        <v>14</v>
      </c>
      <c r="H139" t="inlineStr">
        <is>
          <t>8톤</t>
        </is>
      </c>
      <c r="I139" t="n">
        <v>14</v>
      </c>
      <c r="J139" t="inlineStr">
        <is>
          <t>8톤</t>
        </is>
      </c>
      <c r="K139" t="n">
        <v>14</v>
      </c>
      <c r="L139" t="inlineStr">
        <is>
          <t>8톤</t>
        </is>
      </c>
      <c r="M139" t="n">
        <v>14</v>
      </c>
      <c r="N139" t="inlineStr">
        <is>
          <t>8톤</t>
        </is>
      </c>
      <c r="O139" t="n">
        <v>14</v>
      </c>
      <c r="P139" t="inlineStr">
        <is>
          <t>8톤</t>
        </is>
      </c>
      <c r="Q139" t="n">
        <v>14</v>
      </c>
      <c r="R139" t="inlineStr">
        <is>
          <t>8톤</t>
        </is>
      </c>
      <c r="S139" t="n">
        <v>14</v>
      </c>
      <c r="T139" t="inlineStr">
        <is>
          <t>5톤</t>
        </is>
      </c>
      <c r="U139" t="n">
        <v>12</v>
      </c>
    </row>
    <row r="140">
      <c r="A140" t="n">
        <v>139</v>
      </c>
      <c r="B140" t="inlineStr">
        <is>
          <t>8톤</t>
        </is>
      </c>
      <c r="C140" t="n">
        <v>14</v>
      </c>
      <c r="D140" t="inlineStr">
        <is>
          <t>8톤</t>
        </is>
      </c>
      <c r="E140" t="n">
        <v>14</v>
      </c>
      <c r="F140" t="inlineStr">
        <is>
          <t>8톤</t>
        </is>
      </c>
      <c r="G140" t="n">
        <v>14</v>
      </c>
      <c r="H140" t="inlineStr">
        <is>
          <t>8톤</t>
        </is>
      </c>
      <c r="I140" t="n">
        <v>14</v>
      </c>
      <c r="J140" t="inlineStr">
        <is>
          <t>8톤</t>
        </is>
      </c>
      <c r="K140" t="n">
        <v>14</v>
      </c>
      <c r="L140" t="inlineStr">
        <is>
          <t>8톤</t>
        </is>
      </c>
      <c r="M140" t="n">
        <v>14</v>
      </c>
      <c r="N140" t="inlineStr">
        <is>
          <t>8톤</t>
        </is>
      </c>
      <c r="O140" t="n">
        <v>14</v>
      </c>
      <c r="P140" t="inlineStr">
        <is>
          <t>8톤</t>
        </is>
      </c>
      <c r="Q140" t="n">
        <v>14</v>
      </c>
      <c r="R140" t="inlineStr">
        <is>
          <t>8톤</t>
        </is>
      </c>
      <c r="S140" t="n">
        <v>14</v>
      </c>
      <c r="T140" t="inlineStr">
        <is>
          <t>8톤</t>
        </is>
      </c>
      <c r="U140" t="n">
        <v>13</v>
      </c>
    </row>
    <row r="141">
      <c r="A141" t="n">
        <v>140</v>
      </c>
      <c r="B141" t="inlineStr">
        <is>
          <t>8톤</t>
        </is>
      </c>
      <c r="C141" t="n">
        <v>14</v>
      </c>
      <c r="D141" t="inlineStr">
        <is>
          <t>8톤</t>
        </is>
      </c>
      <c r="E141" t="n">
        <v>14</v>
      </c>
      <c r="F141" t="inlineStr">
        <is>
          <t>8톤</t>
        </is>
      </c>
      <c r="G141" t="n">
        <v>14</v>
      </c>
      <c r="H141" t="inlineStr">
        <is>
          <t>8톤</t>
        </is>
      </c>
      <c r="I141" t="n">
        <v>14</v>
      </c>
      <c r="J141" t="inlineStr">
        <is>
          <t>8톤</t>
        </is>
      </c>
      <c r="K141" t="n">
        <v>14</v>
      </c>
      <c r="L141" t="inlineStr">
        <is>
          <t>8톤</t>
        </is>
      </c>
      <c r="M141" t="n">
        <v>14</v>
      </c>
      <c r="N141" t="inlineStr">
        <is>
          <t>8톤</t>
        </is>
      </c>
      <c r="O141" t="n">
        <v>14</v>
      </c>
      <c r="P141" t="inlineStr">
        <is>
          <t>8톤</t>
        </is>
      </c>
      <c r="Q141" t="n">
        <v>14</v>
      </c>
      <c r="R141" t="inlineStr">
        <is>
          <t>8톤</t>
        </is>
      </c>
      <c r="S141" t="n">
        <v>14</v>
      </c>
      <c r="T141" t="inlineStr">
        <is>
          <t>8톤</t>
        </is>
      </c>
      <c r="U141" t="n">
        <v>14</v>
      </c>
    </row>
    <row r="142">
      <c r="A142" t="n">
        <v>141</v>
      </c>
      <c r="B142" t="inlineStr">
        <is>
          <t>11톤</t>
        </is>
      </c>
      <c r="C142" t="n">
        <v>15</v>
      </c>
      <c r="D142" t="inlineStr">
        <is>
          <t>8톤</t>
        </is>
      </c>
      <c r="E142" t="n">
        <v>14</v>
      </c>
      <c r="F142" t="inlineStr">
        <is>
          <t>8톤</t>
        </is>
      </c>
      <c r="G142" t="n">
        <v>14</v>
      </c>
      <c r="H142" t="inlineStr">
        <is>
          <t>8톤</t>
        </is>
      </c>
      <c r="I142" t="n">
        <v>14</v>
      </c>
      <c r="J142" t="inlineStr">
        <is>
          <t>8톤</t>
        </is>
      </c>
      <c r="K142" t="n">
        <v>14</v>
      </c>
      <c r="L142" t="inlineStr">
        <is>
          <t>8톤</t>
        </is>
      </c>
      <c r="M142" t="n">
        <v>14</v>
      </c>
      <c r="N142" t="inlineStr">
        <is>
          <t>8톤</t>
        </is>
      </c>
      <c r="O142" t="n">
        <v>14</v>
      </c>
      <c r="P142" t="inlineStr">
        <is>
          <t>8톤</t>
        </is>
      </c>
      <c r="Q142" t="n">
        <v>14</v>
      </c>
      <c r="R142" t="inlineStr">
        <is>
          <t>8톤</t>
        </is>
      </c>
      <c r="S142" t="n">
        <v>14</v>
      </c>
      <c r="T142" t="inlineStr">
        <is>
          <t>8톤</t>
        </is>
      </c>
      <c r="U142" t="n">
        <v>14</v>
      </c>
    </row>
    <row r="143">
      <c r="A143" t="n">
        <v>142</v>
      </c>
      <c r="B143" t="inlineStr">
        <is>
          <t>11톤</t>
        </is>
      </c>
      <c r="C143" t="n">
        <v>16</v>
      </c>
      <c r="D143" t="inlineStr">
        <is>
          <t>8톤</t>
        </is>
      </c>
      <c r="E143" t="n">
        <v>14</v>
      </c>
      <c r="F143" t="inlineStr">
        <is>
          <t>8톤</t>
        </is>
      </c>
      <c r="G143" t="n">
        <v>14</v>
      </c>
      <c r="H143" t="inlineStr">
        <is>
          <t>8톤</t>
        </is>
      </c>
      <c r="I143" t="n">
        <v>14</v>
      </c>
      <c r="J143" t="inlineStr">
        <is>
          <t>8톤</t>
        </is>
      </c>
      <c r="K143" t="n">
        <v>14</v>
      </c>
      <c r="L143" t="inlineStr">
        <is>
          <t>8톤</t>
        </is>
      </c>
      <c r="M143" t="n">
        <v>14</v>
      </c>
      <c r="N143" t="inlineStr">
        <is>
          <t>8톤</t>
        </is>
      </c>
      <c r="O143" t="n">
        <v>14</v>
      </c>
      <c r="P143" t="inlineStr">
        <is>
          <t>8톤</t>
        </is>
      </c>
      <c r="Q143" t="n">
        <v>14</v>
      </c>
      <c r="R143" t="inlineStr">
        <is>
          <t>8톤</t>
        </is>
      </c>
      <c r="S143" t="n">
        <v>14</v>
      </c>
      <c r="T143" t="inlineStr">
        <is>
          <t>8톤</t>
        </is>
      </c>
      <c r="U143" t="n">
        <v>14</v>
      </c>
    </row>
    <row r="144">
      <c r="A144" t="n">
        <v>143</v>
      </c>
      <c r="B144" t="inlineStr">
        <is>
          <t>11톤</t>
        </is>
      </c>
      <c r="C144" t="n">
        <v>16</v>
      </c>
      <c r="D144" t="inlineStr">
        <is>
          <t>11톤</t>
        </is>
      </c>
      <c r="E144" t="n">
        <v>15</v>
      </c>
      <c r="F144" t="inlineStr">
        <is>
          <t>8톤</t>
        </is>
      </c>
      <c r="G144" t="n">
        <v>14</v>
      </c>
      <c r="H144" t="inlineStr">
        <is>
          <t>8톤</t>
        </is>
      </c>
      <c r="I144" t="n">
        <v>14</v>
      </c>
      <c r="J144" t="inlineStr">
        <is>
          <t>8톤</t>
        </is>
      </c>
      <c r="K144" t="n">
        <v>14</v>
      </c>
      <c r="L144" t="inlineStr">
        <is>
          <t>8톤</t>
        </is>
      </c>
      <c r="M144" t="n">
        <v>14</v>
      </c>
      <c r="N144" t="inlineStr">
        <is>
          <t>8톤</t>
        </is>
      </c>
      <c r="O144" t="n">
        <v>14</v>
      </c>
      <c r="P144" t="inlineStr">
        <is>
          <t>8톤</t>
        </is>
      </c>
      <c r="Q144" t="n">
        <v>14</v>
      </c>
      <c r="R144" t="inlineStr">
        <is>
          <t>8톤</t>
        </is>
      </c>
      <c r="S144" t="n">
        <v>14</v>
      </c>
      <c r="T144" t="inlineStr">
        <is>
          <t>8톤</t>
        </is>
      </c>
      <c r="U144" t="n">
        <v>14</v>
      </c>
    </row>
    <row r="145">
      <c r="A145" t="n">
        <v>144</v>
      </c>
      <c r="B145" t="inlineStr">
        <is>
          <t>11톤</t>
        </is>
      </c>
      <c r="C145" t="n">
        <v>16</v>
      </c>
      <c r="D145" t="inlineStr">
        <is>
          <t>11톤</t>
        </is>
      </c>
      <c r="E145" t="n">
        <v>16</v>
      </c>
      <c r="F145" t="inlineStr">
        <is>
          <t>8톤</t>
        </is>
      </c>
      <c r="G145" t="n">
        <v>14</v>
      </c>
      <c r="H145" t="inlineStr">
        <is>
          <t>8톤</t>
        </is>
      </c>
      <c r="I145" t="n">
        <v>14</v>
      </c>
      <c r="J145" t="inlineStr">
        <is>
          <t>8톤</t>
        </is>
      </c>
      <c r="K145" t="n">
        <v>14</v>
      </c>
      <c r="L145" t="inlineStr">
        <is>
          <t>8톤</t>
        </is>
      </c>
      <c r="M145" t="n">
        <v>14</v>
      </c>
      <c r="N145" t="inlineStr">
        <is>
          <t>8톤</t>
        </is>
      </c>
      <c r="O145" t="n">
        <v>14</v>
      </c>
      <c r="P145" t="inlineStr">
        <is>
          <t>8톤</t>
        </is>
      </c>
      <c r="Q145" t="n">
        <v>14</v>
      </c>
      <c r="R145" t="inlineStr">
        <is>
          <t>8톤</t>
        </is>
      </c>
      <c r="S145" t="n">
        <v>14</v>
      </c>
      <c r="T145" t="inlineStr">
        <is>
          <t>8톤</t>
        </is>
      </c>
      <c r="U145" t="n">
        <v>14</v>
      </c>
    </row>
    <row r="146">
      <c r="A146" t="n">
        <v>145</v>
      </c>
      <c r="B146" t="inlineStr">
        <is>
          <t>11톤</t>
        </is>
      </c>
      <c r="C146" t="n">
        <v>16</v>
      </c>
      <c r="D146" t="inlineStr">
        <is>
          <t>11톤</t>
        </is>
      </c>
      <c r="E146" t="n">
        <v>16</v>
      </c>
      <c r="F146" t="inlineStr">
        <is>
          <t>11톤</t>
        </is>
      </c>
      <c r="G146" t="n">
        <v>15</v>
      </c>
      <c r="H146" t="inlineStr">
        <is>
          <t>8톤</t>
        </is>
      </c>
      <c r="I146" t="n">
        <v>14</v>
      </c>
      <c r="J146" t="inlineStr">
        <is>
          <t>8톤</t>
        </is>
      </c>
      <c r="K146" t="n">
        <v>14</v>
      </c>
      <c r="L146" t="inlineStr">
        <is>
          <t>8톤</t>
        </is>
      </c>
      <c r="M146" t="n">
        <v>14</v>
      </c>
      <c r="N146" t="inlineStr">
        <is>
          <t>8톤</t>
        </is>
      </c>
      <c r="O146" t="n">
        <v>14</v>
      </c>
      <c r="P146" t="inlineStr">
        <is>
          <t>8톤</t>
        </is>
      </c>
      <c r="Q146" t="n">
        <v>14</v>
      </c>
      <c r="R146" t="inlineStr">
        <is>
          <t>8톤</t>
        </is>
      </c>
      <c r="S146" t="n">
        <v>14</v>
      </c>
      <c r="T146" t="inlineStr">
        <is>
          <t>8톤</t>
        </is>
      </c>
      <c r="U146" t="n">
        <v>14</v>
      </c>
    </row>
    <row r="147">
      <c r="A147" t="n">
        <v>146</v>
      </c>
      <c r="B147" t="inlineStr">
        <is>
          <t>11톤</t>
        </is>
      </c>
      <c r="C147" t="n">
        <v>16</v>
      </c>
      <c r="D147" t="inlineStr">
        <is>
          <t>11톤</t>
        </is>
      </c>
      <c r="E147" t="n">
        <v>16</v>
      </c>
      <c r="F147" t="inlineStr">
        <is>
          <t>11톤</t>
        </is>
      </c>
      <c r="G147" t="n">
        <v>16</v>
      </c>
      <c r="H147" t="inlineStr">
        <is>
          <t>8톤</t>
        </is>
      </c>
      <c r="I147" t="n">
        <v>14</v>
      </c>
      <c r="J147" t="inlineStr">
        <is>
          <t>8톤</t>
        </is>
      </c>
      <c r="K147" t="n">
        <v>14</v>
      </c>
      <c r="L147" t="inlineStr">
        <is>
          <t>8톤</t>
        </is>
      </c>
      <c r="M147" t="n">
        <v>14</v>
      </c>
      <c r="N147" t="inlineStr">
        <is>
          <t>8톤</t>
        </is>
      </c>
      <c r="O147" t="n">
        <v>14</v>
      </c>
      <c r="P147" t="inlineStr">
        <is>
          <t>8톤</t>
        </is>
      </c>
      <c r="Q147" t="n">
        <v>14</v>
      </c>
      <c r="R147" t="inlineStr">
        <is>
          <t>8톤</t>
        </is>
      </c>
      <c r="S147" t="n">
        <v>14</v>
      </c>
      <c r="T147" t="inlineStr">
        <is>
          <t>8톤</t>
        </is>
      </c>
      <c r="U147" t="n">
        <v>14</v>
      </c>
    </row>
    <row r="148">
      <c r="A148" t="n">
        <v>147</v>
      </c>
      <c r="B148" t="inlineStr">
        <is>
          <t>11톤</t>
        </is>
      </c>
      <c r="C148" t="n">
        <v>16</v>
      </c>
      <c r="D148" t="inlineStr">
        <is>
          <t>11톤</t>
        </is>
      </c>
      <c r="E148" t="n">
        <v>16</v>
      </c>
      <c r="F148" t="inlineStr">
        <is>
          <t>11톤</t>
        </is>
      </c>
      <c r="G148" t="n">
        <v>16</v>
      </c>
      <c r="H148" t="inlineStr">
        <is>
          <t>11톤</t>
        </is>
      </c>
      <c r="I148" t="n">
        <v>15</v>
      </c>
      <c r="J148" t="inlineStr">
        <is>
          <t>8톤</t>
        </is>
      </c>
      <c r="K148" t="n">
        <v>14</v>
      </c>
      <c r="L148" t="inlineStr">
        <is>
          <t>8톤</t>
        </is>
      </c>
      <c r="M148" t="n">
        <v>14</v>
      </c>
      <c r="N148" t="inlineStr">
        <is>
          <t>8톤</t>
        </is>
      </c>
      <c r="O148" t="n">
        <v>14</v>
      </c>
      <c r="P148" t="inlineStr">
        <is>
          <t>8톤</t>
        </is>
      </c>
      <c r="Q148" t="n">
        <v>14</v>
      </c>
      <c r="R148" t="inlineStr">
        <is>
          <t>8톤</t>
        </is>
      </c>
      <c r="S148" t="n">
        <v>14</v>
      </c>
      <c r="T148" t="inlineStr">
        <is>
          <t>8톤</t>
        </is>
      </c>
      <c r="U148" t="n">
        <v>14</v>
      </c>
    </row>
    <row r="149">
      <c r="A149" t="n">
        <v>148</v>
      </c>
      <c r="B149" t="inlineStr">
        <is>
          <t>11톤</t>
        </is>
      </c>
      <c r="C149" t="n">
        <v>16</v>
      </c>
      <c r="D149" t="inlineStr">
        <is>
          <t>11톤</t>
        </is>
      </c>
      <c r="E149" t="n">
        <v>16</v>
      </c>
      <c r="F149" t="inlineStr">
        <is>
          <t>11톤</t>
        </is>
      </c>
      <c r="G149" t="n">
        <v>16</v>
      </c>
      <c r="H149" t="inlineStr">
        <is>
          <t>11톤</t>
        </is>
      </c>
      <c r="I149" t="n">
        <v>16</v>
      </c>
      <c r="J149" t="inlineStr">
        <is>
          <t>8톤</t>
        </is>
      </c>
      <c r="K149" t="n">
        <v>14</v>
      </c>
      <c r="L149" t="inlineStr">
        <is>
          <t>8톤</t>
        </is>
      </c>
      <c r="M149" t="n">
        <v>14</v>
      </c>
      <c r="N149" t="inlineStr">
        <is>
          <t>8톤</t>
        </is>
      </c>
      <c r="O149" t="n">
        <v>14</v>
      </c>
      <c r="P149" t="inlineStr">
        <is>
          <t>8톤</t>
        </is>
      </c>
      <c r="Q149" t="n">
        <v>14</v>
      </c>
      <c r="R149" t="inlineStr">
        <is>
          <t>8톤</t>
        </is>
      </c>
      <c r="S149" t="n">
        <v>14</v>
      </c>
      <c r="T149" t="inlineStr">
        <is>
          <t>8톤</t>
        </is>
      </c>
      <c r="U149" t="n">
        <v>14</v>
      </c>
    </row>
    <row r="150">
      <c r="A150" t="n">
        <v>149</v>
      </c>
      <c r="B150" t="inlineStr">
        <is>
          <t>8톤</t>
        </is>
      </c>
      <c r="C150" t="n">
        <v>14</v>
      </c>
      <c r="D150" t="inlineStr">
        <is>
          <t>8톤</t>
        </is>
      </c>
      <c r="E150" t="n">
        <v>14</v>
      </c>
      <c r="F150" t="inlineStr">
        <is>
          <t>8톤</t>
        </is>
      </c>
      <c r="G150" t="n">
        <v>14</v>
      </c>
      <c r="H150" t="inlineStr">
        <is>
          <t>8톤</t>
        </is>
      </c>
      <c r="I150" t="n">
        <v>14</v>
      </c>
      <c r="J150" t="inlineStr">
        <is>
          <t>8톤</t>
        </is>
      </c>
      <c r="K150" t="n">
        <v>14</v>
      </c>
      <c r="L150" t="inlineStr">
        <is>
          <t>8톤</t>
        </is>
      </c>
      <c r="M150" t="n">
        <v>14</v>
      </c>
      <c r="N150" t="inlineStr">
        <is>
          <t>8톤</t>
        </is>
      </c>
      <c r="O150" t="n">
        <v>14</v>
      </c>
      <c r="P150" t="inlineStr">
        <is>
          <t>8톤</t>
        </is>
      </c>
      <c r="Q150" t="n">
        <v>14</v>
      </c>
      <c r="R150" t="inlineStr">
        <is>
          <t>8톤</t>
        </is>
      </c>
      <c r="S150" t="n">
        <v>13</v>
      </c>
      <c r="T150" t="inlineStr">
        <is>
          <t>5톤</t>
        </is>
      </c>
      <c r="U150" t="n">
        <v>12</v>
      </c>
      <c r="V150" t="inlineStr">
        <is>
          <t>5톤</t>
        </is>
      </c>
      <c r="W150" t="n">
        <v>12</v>
      </c>
    </row>
    <row r="151">
      <c r="A151" t="n">
        <v>150</v>
      </c>
      <c r="B151" t="inlineStr">
        <is>
          <t>8톤</t>
        </is>
      </c>
      <c r="C151" t="n">
        <v>14</v>
      </c>
      <c r="D151" t="inlineStr">
        <is>
          <t>8톤</t>
        </is>
      </c>
      <c r="E151" t="n">
        <v>14</v>
      </c>
      <c r="F151" t="inlineStr">
        <is>
          <t>8톤</t>
        </is>
      </c>
      <c r="G151" t="n">
        <v>14</v>
      </c>
      <c r="H151" t="inlineStr">
        <is>
          <t>8톤</t>
        </is>
      </c>
      <c r="I151" t="n">
        <v>14</v>
      </c>
      <c r="J151" t="inlineStr">
        <is>
          <t>8톤</t>
        </is>
      </c>
      <c r="K151" t="n">
        <v>14</v>
      </c>
      <c r="L151" t="inlineStr">
        <is>
          <t>8톤</t>
        </is>
      </c>
      <c r="M151" t="n">
        <v>14</v>
      </c>
      <c r="N151" t="inlineStr">
        <is>
          <t>8톤</t>
        </is>
      </c>
      <c r="O151" t="n">
        <v>14</v>
      </c>
      <c r="P151" t="inlineStr">
        <is>
          <t>8톤</t>
        </is>
      </c>
      <c r="Q151" t="n">
        <v>14</v>
      </c>
      <c r="R151" t="inlineStr">
        <is>
          <t>8톤</t>
        </is>
      </c>
      <c r="S151" t="n">
        <v>14</v>
      </c>
      <c r="T151" t="inlineStr">
        <is>
          <t>5톤</t>
        </is>
      </c>
      <c r="U151" t="n">
        <v>12</v>
      </c>
      <c r="V151" t="inlineStr">
        <is>
          <t>5톤</t>
        </is>
      </c>
      <c r="W151" t="n">
        <v>12</v>
      </c>
    </row>
    <row r="152">
      <c r="A152" t="n">
        <v>151</v>
      </c>
      <c r="B152" t="inlineStr">
        <is>
          <t>8톤</t>
        </is>
      </c>
      <c r="C152" t="n">
        <v>14</v>
      </c>
      <c r="D152" t="inlineStr">
        <is>
          <t>8톤</t>
        </is>
      </c>
      <c r="E152" t="n">
        <v>14</v>
      </c>
      <c r="F152" t="inlineStr">
        <is>
          <t>8톤</t>
        </is>
      </c>
      <c r="G152" t="n">
        <v>14</v>
      </c>
      <c r="H152" t="inlineStr">
        <is>
          <t>8톤</t>
        </is>
      </c>
      <c r="I152" t="n">
        <v>14</v>
      </c>
      <c r="J152" t="inlineStr">
        <is>
          <t>8톤</t>
        </is>
      </c>
      <c r="K152" t="n">
        <v>14</v>
      </c>
      <c r="L152" t="inlineStr">
        <is>
          <t>8톤</t>
        </is>
      </c>
      <c r="M152" t="n">
        <v>14</v>
      </c>
      <c r="N152" t="inlineStr">
        <is>
          <t>8톤</t>
        </is>
      </c>
      <c r="O152" t="n">
        <v>14</v>
      </c>
      <c r="P152" t="inlineStr">
        <is>
          <t>8톤</t>
        </is>
      </c>
      <c r="Q152" t="n">
        <v>14</v>
      </c>
      <c r="R152" t="inlineStr">
        <is>
          <t>8톤</t>
        </is>
      </c>
      <c r="S152" t="n">
        <v>14</v>
      </c>
      <c r="T152" t="inlineStr">
        <is>
          <t>8톤</t>
        </is>
      </c>
      <c r="U152" t="n">
        <v>13</v>
      </c>
      <c r="V152" t="inlineStr">
        <is>
          <t>5톤</t>
        </is>
      </c>
      <c r="W152" t="n">
        <v>12</v>
      </c>
    </row>
    <row r="153">
      <c r="A153" t="n">
        <v>152</v>
      </c>
      <c r="B153" t="inlineStr">
        <is>
          <t>8톤</t>
        </is>
      </c>
      <c r="C153" t="n">
        <v>14</v>
      </c>
      <c r="D153" t="inlineStr">
        <is>
          <t>8톤</t>
        </is>
      </c>
      <c r="E153" t="n">
        <v>14</v>
      </c>
      <c r="F153" t="inlineStr">
        <is>
          <t>8톤</t>
        </is>
      </c>
      <c r="G153" t="n">
        <v>14</v>
      </c>
      <c r="H153" t="inlineStr">
        <is>
          <t>8톤</t>
        </is>
      </c>
      <c r="I153" t="n">
        <v>14</v>
      </c>
      <c r="J153" t="inlineStr">
        <is>
          <t>8톤</t>
        </is>
      </c>
      <c r="K153" t="n">
        <v>14</v>
      </c>
      <c r="L153" t="inlineStr">
        <is>
          <t>8톤</t>
        </is>
      </c>
      <c r="M153" t="n">
        <v>14</v>
      </c>
      <c r="N153" t="inlineStr">
        <is>
          <t>8톤</t>
        </is>
      </c>
      <c r="O153" t="n">
        <v>14</v>
      </c>
      <c r="P153" t="inlineStr">
        <is>
          <t>8톤</t>
        </is>
      </c>
      <c r="Q153" t="n">
        <v>14</v>
      </c>
      <c r="R153" t="inlineStr">
        <is>
          <t>8톤</t>
        </is>
      </c>
      <c r="S153" t="n">
        <v>14</v>
      </c>
      <c r="T153" t="inlineStr">
        <is>
          <t>8톤</t>
        </is>
      </c>
      <c r="U153" t="n">
        <v>14</v>
      </c>
      <c r="V153" t="inlineStr">
        <is>
          <t>5톤</t>
        </is>
      </c>
      <c r="W153" t="n">
        <v>12</v>
      </c>
    </row>
    <row r="154">
      <c r="A154" t="n">
        <v>153</v>
      </c>
      <c r="B154" t="inlineStr">
        <is>
          <t>8톤</t>
        </is>
      </c>
      <c r="C154" t="n">
        <v>14</v>
      </c>
      <c r="D154" t="inlineStr">
        <is>
          <t>8톤</t>
        </is>
      </c>
      <c r="E154" t="n">
        <v>14</v>
      </c>
      <c r="F154" t="inlineStr">
        <is>
          <t>8톤</t>
        </is>
      </c>
      <c r="G154" t="n">
        <v>14</v>
      </c>
      <c r="H154" t="inlineStr">
        <is>
          <t>8톤</t>
        </is>
      </c>
      <c r="I154" t="n">
        <v>14</v>
      </c>
      <c r="J154" t="inlineStr">
        <is>
          <t>8톤</t>
        </is>
      </c>
      <c r="K154" t="n">
        <v>14</v>
      </c>
      <c r="L154" t="inlineStr">
        <is>
          <t>8톤</t>
        </is>
      </c>
      <c r="M154" t="n">
        <v>14</v>
      </c>
      <c r="N154" t="inlineStr">
        <is>
          <t>8톤</t>
        </is>
      </c>
      <c r="O154" t="n">
        <v>14</v>
      </c>
      <c r="P154" t="inlineStr">
        <is>
          <t>8톤</t>
        </is>
      </c>
      <c r="Q154" t="n">
        <v>14</v>
      </c>
      <c r="R154" t="inlineStr">
        <is>
          <t>8톤</t>
        </is>
      </c>
      <c r="S154" t="n">
        <v>14</v>
      </c>
      <c r="T154" t="inlineStr">
        <is>
          <t>8톤</t>
        </is>
      </c>
      <c r="U154" t="n">
        <v>14</v>
      </c>
      <c r="V154" t="inlineStr">
        <is>
          <t>8톤</t>
        </is>
      </c>
      <c r="W154" t="n">
        <v>13</v>
      </c>
    </row>
    <row r="155">
      <c r="A155" t="n">
        <v>154</v>
      </c>
      <c r="B155" t="inlineStr">
        <is>
          <t>8톤</t>
        </is>
      </c>
      <c r="C155" t="n">
        <v>14</v>
      </c>
      <c r="D155" t="inlineStr">
        <is>
          <t>8톤</t>
        </is>
      </c>
      <c r="E155" t="n">
        <v>14</v>
      </c>
      <c r="F155" t="inlineStr">
        <is>
          <t>8톤</t>
        </is>
      </c>
      <c r="G155" t="n">
        <v>14</v>
      </c>
      <c r="H155" t="inlineStr">
        <is>
          <t>8톤</t>
        </is>
      </c>
      <c r="I155" t="n">
        <v>14</v>
      </c>
      <c r="J155" t="inlineStr">
        <is>
          <t>8톤</t>
        </is>
      </c>
      <c r="K155" t="n">
        <v>14</v>
      </c>
      <c r="L155" t="inlineStr">
        <is>
          <t>8톤</t>
        </is>
      </c>
      <c r="M155" t="n">
        <v>14</v>
      </c>
      <c r="N155" t="inlineStr">
        <is>
          <t>8톤</t>
        </is>
      </c>
      <c r="O155" t="n">
        <v>14</v>
      </c>
      <c r="P155" t="inlineStr">
        <is>
          <t>8톤</t>
        </is>
      </c>
      <c r="Q155" t="n">
        <v>14</v>
      </c>
      <c r="R155" t="inlineStr">
        <is>
          <t>8톤</t>
        </is>
      </c>
      <c r="S155" t="n">
        <v>14</v>
      </c>
      <c r="T155" t="inlineStr">
        <is>
          <t>8톤</t>
        </is>
      </c>
      <c r="U155" t="n">
        <v>14</v>
      </c>
      <c r="V155" t="inlineStr">
        <is>
          <t>8톤</t>
        </is>
      </c>
      <c r="W155" t="n">
        <v>14</v>
      </c>
    </row>
    <row r="156">
      <c r="A156" t="n">
        <v>155</v>
      </c>
      <c r="B156" t="inlineStr">
        <is>
          <t>11톤</t>
        </is>
      </c>
      <c r="C156" t="n">
        <v>15</v>
      </c>
      <c r="D156" t="inlineStr">
        <is>
          <t>8톤</t>
        </is>
      </c>
      <c r="E156" t="n">
        <v>14</v>
      </c>
      <c r="F156" t="inlineStr">
        <is>
          <t>8톤</t>
        </is>
      </c>
      <c r="G156" t="n">
        <v>14</v>
      </c>
      <c r="H156" t="inlineStr">
        <is>
          <t>8톤</t>
        </is>
      </c>
      <c r="I156" t="n">
        <v>14</v>
      </c>
      <c r="J156" t="inlineStr">
        <is>
          <t>8톤</t>
        </is>
      </c>
      <c r="K156" t="n">
        <v>14</v>
      </c>
      <c r="L156" t="inlineStr">
        <is>
          <t>8톤</t>
        </is>
      </c>
      <c r="M156" t="n">
        <v>14</v>
      </c>
      <c r="N156" t="inlineStr">
        <is>
          <t>8톤</t>
        </is>
      </c>
      <c r="O156" t="n">
        <v>14</v>
      </c>
      <c r="P156" t="inlineStr">
        <is>
          <t>8톤</t>
        </is>
      </c>
      <c r="Q156" t="n">
        <v>14</v>
      </c>
      <c r="R156" t="inlineStr">
        <is>
          <t>8톤</t>
        </is>
      </c>
      <c r="S156" t="n">
        <v>14</v>
      </c>
      <c r="T156" t="inlineStr">
        <is>
          <t>8톤</t>
        </is>
      </c>
      <c r="U156" t="n">
        <v>14</v>
      </c>
      <c r="V156" t="inlineStr">
        <is>
          <t>8톤</t>
        </is>
      </c>
      <c r="W156" t="n">
        <v>14</v>
      </c>
    </row>
    <row r="157">
      <c r="A157" t="n">
        <v>156</v>
      </c>
      <c r="B157" t="inlineStr">
        <is>
          <t>11톤</t>
        </is>
      </c>
      <c r="C157" t="n">
        <v>16</v>
      </c>
      <c r="D157" t="inlineStr">
        <is>
          <t>8톤</t>
        </is>
      </c>
      <c r="E157" t="n">
        <v>14</v>
      </c>
      <c r="F157" t="inlineStr">
        <is>
          <t>8톤</t>
        </is>
      </c>
      <c r="G157" t="n">
        <v>14</v>
      </c>
      <c r="H157" t="inlineStr">
        <is>
          <t>8톤</t>
        </is>
      </c>
      <c r="I157" t="n">
        <v>14</v>
      </c>
      <c r="J157" t="inlineStr">
        <is>
          <t>8톤</t>
        </is>
      </c>
      <c r="K157" t="n">
        <v>14</v>
      </c>
      <c r="L157" t="inlineStr">
        <is>
          <t>8톤</t>
        </is>
      </c>
      <c r="M157" t="n">
        <v>14</v>
      </c>
      <c r="N157" t="inlineStr">
        <is>
          <t>8톤</t>
        </is>
      </c>
      <c r="O157" t="n">
        <v>14</v>
      </c>
      <c r="P157" t="inlineStr">
        <is>
          <t>8톤</t>
        </is>
      </c>
      <c r="Q157" t="n">
        <v>14</v>
      </c>
      <c r="R157" t="inlineStr">
        <is>
          <t>8톤</t>
        </is>
      </c>
      <c r="S157" t="n">
        <v>14</v>
      </c>
      <c r="T157" t="inlineStr">
        <is>
          <t>8톤</t>
        </is>
      </c>
      <c r="U157" t="n">
        <v>14</v>
      </c>
      <c r="V157" t="inlineStr">
        <is>
          <t>8톤</t>
        </is>
      </c>
      <c r="W157" t="n">
        <v>14</v>
      </c>
    </row>
    <row r="158">
      <c r="A158" t="n">
        <v>157</v>
      </c>
      <c r="B158" t="inlineStr">
        <is>
          <t>11톤</t>
        </is>
      </c>
      <c r="C158" t="n">
        <v>16</v>
      </c>
      <c r="D158" t="inlineStr">
        <is>
          <t>11톤</t>
        </is>
      </c>
      <c r="E158" t="n">
        <v>15</v>
      </c>
      <c r="F158" t="inlineStr">
        <is>
          <t>8톤</t>
        </is>
      </c>
      <c r="G158" t="n">
        <v>14</v>
      </c>
      <c r="H158" t="inlineStr">
        <is>
          <t>8톤</t>
        </is>
      </c>
      <c r="I158" t="n">
        <v>14</v>
      </c>
      <c r="J158" t="inlineStr">
        <is>
          <t>8톤</t>
        </is>
      </c>
      <c r="K158" t="n">
        <v>14</v>
      </c>
      <c r="L158" t="inlineStr">
        <is>
          <t>8톤</t>
        </is>
      </c>
      <c r="M158" t="n">
        <v>14</v>
      </c>
      <c r="N158" t="inlineStr">
        <is>
          <t>8톤</t>
        </is>
      </c>
      <c r="O158" t="n">
        <v>14</v>
      </c>
      <c r="P158" t="inlineStr">
        <is>
          <t>8톤</t>
        </is>
      </c>
      <c r="Q158" t="n">
        <v>14</v>
      </c>
      <c r="R158" t="inlineStr">
        <is>
          <t>8톤</t>
        </is>
      </c>
      <c r="S158" t="n">
        <v>14</v>
      </c>
      <c r="T158" t="inlineStr">
        <is>
          <t>8톤</t>
        </is>
      </c>
      <c r="U158" t="n">
        <v>14</v>
      </c>
      <c r="V158" t="inlineStr">
        <is>
          <t>8톤</t>
        </is>
      </c>
      <c r="W158" t="n">
        <v>14</v>
      </c>
    </row>
    <row r="159">
      <c r="A159" t="n">
        <v>158</v>
      </c>
      <c r="B159" t="inlineStr">
        <is>
          <t>11톤</t>
        </is>
      </c>
      <c r="C159" t="n">
        <v>16</v>
      </c>
      <c r="D159" t="inlineStr">
        <is>
          <t>11톤</t>
        </is>
      </c>
      <c r="E159" t="n">
        <v>16</v>
      </c>
      <c r="F159" t="inlineStr">
        <is>
          <t>8톤</t>
        </is>
      </c>
      <c r="G159" t="n">
        <v>14</v>
      </c>
      <c r="H159" t="inlineStr">
        <is>
          <t>8톤</t>
        </is>
      </c>
      <c r="I159" t="n">
        <v>14</v>
      </c>
      <c r="J159" t="inlineStr">
        <is>
          <t>8톤</t>
        </is>
      </c>
      <c r="K159" t="n">
        <v>14</v>
      </c>
      <c r="L159" t="inlineStr">
        <is>
          <t>8톤</t>
        </is>
      </c>
      <c r="M159" t="n">
        <v>14</v>
      </c>
      <c r="N159" t="inlineStr">
        <is>
          <t>8톤</t>
        </is>
      </c>
      <c r="O159" t="n">
        <v>14</v>
      </c>
      <c r="P159" t="inlineStr">
        <is>
          <t>8톤</t>
        </is>
      </c>
      <c r="Q159" t="n">
        <v>14</v>
      </c>
      <c r="R159" t="inlineStr">
        <is>
          <t>8톤</t>
        </is>
      </c>
      <c r="S159" t="n">
        <v>14</v>
      </c>
      <c r="T159" t="inlineStr">
        <is>
          <t>8톤</t>
        </is>
      </c>
      <c r="U159" t="n">
        <v>14</v>
      </c>
      <c r="V159" t="inlineStr">
        <is>
          <t>8톤</t>
        </is>
      </c>
      <c r="W159" t="n">
        <v>14</v>
      </c>
    </row>
    <row r="160">
      <c r="A160" t="n">
        <v>159</v>
      </c>
      <c r="B160" t="inlineStr">
        <is>
          <t>11톤</t>
        </is>
      </c>
      <c r="C160" t="n">
        <v>16</v>
      </c>
      <c r="D160" t="inlineStr">
        <is>
          <t>11톤</t>
        </is>
      </c>
      <c r="E160" t="n">
        <v>16</v>
      </c>
      <c r="F160" t="inlineStr">
        <is>
          <t>11톤</t>
        </is>
      </c>
      <c r="G160" t="n">
        <v>15</v>
      </c>
      <c r="H160" t="inlineStr">
        <is>
          <t>8톤</t>
        </is>
      </c>
      <c r="I160" t="n">
        <v>14</v>
      </c>
      <c r="J160" t="inlineStr">
        <is>
          <t>8톤</t>
        </is>
      </c>
      <c r="K160" t="n">
        <v>14</v>
      </c>
      <c r="L160" t="inlineStr">
        <is>
          <t>8톤</t>
        </is>
      </c>
      <c r="M160" t="n">
        <v>14</v>
      </c>
      <c r="N160" t="inlineStr">
        <is>
          <t>8톤</t>
        </is>
      </c>
      <c r="O160" t="n">
        <v>14</v>
      </c>
      <c r="P160" t="inlineStr">
        <is>
          <t>8톤</t>
        </is>
      </c>
      <c r="Q160" t="n">
        <v>14</v>
      </c>
      <c r="R160" t="inlineStr">
        <is>
          <t>8톤</t>
        </is>
      </c>
      <c r="S160" t="n">
        <v>14</v>
      </c>
      <c r="T160" t="inlineStr">
        <is>
          <t>8톤</t>
        </is>
      </c>
      <c r="U160" t="n">
        <v>14</v>
      </c>
      <c r="V160" t="inlineStr">
        <is>
          <t>8톤</t>
        </is>
      </c>
      <c r="W160" t="n">
        <v>14</v>
      </c>
    </row>
    <row r="161">
      <c r="A161" t="n">
        <v>160</v>
      </c>
      <c r="B161" t="inlineStr">
        <is>
          <t>11톤</t>
        </is>
      </c>
      <c r="C161" t="n">
        <v>16</v>
      </c>
      <c r="D161" t="inlineStr">
        <is>
          <t>11톤</t>
        </is>
      </c>
      <c r="E161" t="n">
        <v>16</v>
      </c>
      <c r="F161" t="inlineStr">
        <is>
          <t>11톤</t>
        </is>
      </c>
      <c r="G161" t="n">
        <v>16</v>
      </c>
      <c r="H161" t="inlineStr">
        <is>
          <t>8톤</t>
        </is>
      </c>
      <c r="I161" t="n">
        <v>14</v>
      </c>
      <c r="J161" t="inlineStr">
        <is>
          <t>8톤</t>
        </is>
      </c>
      <c r="K161" t="n">
        <v>14</v>
      </c>
      <c r="L161" t="inlineStr">
        <is>
          <t>8톤</t>
        </is>
      </c>
      <c r="M161" t="n">
        <v>14</v>
      </c>
      <c r="N161" t="inlineStr">
        <is>
          <t>8톤</t>
        </is>
      </c>
      <c r="O161" t="n">
        <v>14</v>
      </c>
      <c r="P161" t="inlineStr">
        <is>
          <t>8톤</t>
        </is>
      </c>
      <c r="Q161" t="n">
        <v>14</v>
      </c>
      <c r="R161" t="inlineStr">
        <is>
          <t>8톤</t>
        </is>
      </c>
      <c r="S161" t="n">
        <v>14</v>
      </c>
      <c r="T161" t="inlineStr">
        <is>
          <t>8톤</t>
        </is>
      </c>
      <c r="U161" t="n">
        <v>14</v>
      </c>
      <c r="V161" t="inlineStr">
        <is>
          <t>8톤</t>
        </is>
      </c>
      <c r="W161" t="n">
        <v>14</v>
      </c>
    </row>
    <row r="162">
      <c r="A162" t="n">
        <v>161</v>
      </c>
      <c r="B162" t="inlineStr">
        <is>
          <t>11톤</t>
        </is>
      </c>
      <c r="C162" t="n">
        <v>16</v>
      </c>
      <c r="D162" t="inlineStr">
        <is>
          <t>11톤</t>
        </is>
      </c>
      <c r="E162" t="n">
        <v>16</v>
      </c>
      <c r="F162" t="inlineStr">
        <is>
          <t>11톤</t>
        </is>
      </c>
      <c r="G162" t="n">
        <v>16</v>
      </c>
      <c r="H162" t="inlineStr">
        <is>
          <t>11톤</t>
        </is>
      </c>
      <c r="I162" t="n">
        <v>15</v>
      </c>
      <c r="J162" t="inlineStr">
        <is>
          <t>8톤</t>
        </is>
      </c>
      <c r="K162" t="n">
        <v>14</v>
      </c>
      <c r="L162" t="inlineStr">
        <is>
          <t>8톤</t>
        </is>
      </c>
      <c r="M162" t="n">
        <v>14</v>
      </c>
      <c r="N162" t="inlineStr">
        <is>
          <t>8톤</t>
        </is>
      </c>
      <c r="O162" t="n">
        <v>14</v>
      </c>
      <c r="P162" t="inlineStr">
        <is>
          <t>8톤</t>
        </is>
      </c>
      <c r="Q162" t="n">
        <v>14</v>
      </c>
      <c r="R162" t="inlineStr">
        <is>
          <t>8톤</t>
        </is>
      </c>
      <c r="S162" t="n">
        <v>14</v>
      </c>
      <c r="T162" t="inlineStr">
        <is>
          <t>8톤</t>
        </is>
      </c>
      <c r="U162" t="n">
        <v>14</v>
      </c>
      <c r="V162" t="inlineStr">
        <is>
          <t>8톤</t>
        </is>
      </c>
      <c r="W162" t="n">
        <v>14</v>
      </c>
    </row>
    <row r="163">
      <c r="A163" t="n">
        <v>162</v>
      </c>
      <c r="B163" t="inlineStr">
        <is>
          <t>11톤</t>
        </is>
      </c>
      <c r="C163" t="n">
        <v>16</v>
      </c>
      <c r="D163" t="inlineStr">
        <is>
          <t>11톤</t>
        </is>
      </c>
      <c r="E163" t="n">
        <v>16</v>
      </c>
      <c r="F163" t="inlineStr">
        <is>
          <t>11톤</t>
        </is>
      </c>
      <c r="G163" t="n">
        <v>16</v>
      </c>
      <c r="H163" t="inlineStr">
        <is>
          <t>11톤</t>
        </is>
      </c>
      <c r="I163" t="n">
        <v>16</v>
      </c>
      <c r="J163" t="inlineStr">
        <is>
          <t>8톤</t>
        </is>
      </c>
      <c r="K163" t="n">
        <v>14</v>
      </c>
      <c r="L163" t="inlineStr">
        <is>
          <t>8톤</t>
        </is>
      </c>
      <c r="M163" t="n">
        <v>14</v>
      </c>
      <c r="N163" t="inlineStr">
        <is>
          <t>8톤</t>
        </is>
      </c>
      <c r="O163" t="n">
        <v>14</v>
      </c>
      <c r="P163" t="inlineStr">
        <is>
          <t>8톤</t>
        </is>
      </c>
      <c r="Q163" t="n">
        <v>14</v>
      </c>
      <c r="R163" t="inlineStr">
        <is>
          <t>8톤</t>
        </is>
      </c>
      <c r="S163" t="n">
        <v>14</v>
      </c>
      <c r="T163" t="inlineStr">
        <is>
          <t>8톤</t>
        </is>
      </c>
      <c r="U163" t="n">
        <v>14</v>
      </c>
      <c r="V163" t="inlineStr">
        <is>
          <t>8톤</t>
        </is>
      </c>
      <c r="W163" t="n">
        <v>14</v>
      </c>
    </row>
    <row r="164">
      <c r="A164" t="n">
        <v>163</v>
      </c>
      <c r="B164" t="inlineStr">
        <is>
          <t>8톤</t>
        </is>
      </c>
      <c r="C164" t="n">
        <v>14</v>
      </c>
      <c r="D164" t="inlineStr">
        <is>
          <t>8톤</t>
        </is>
      </c>
      <c r="E164" t="n">
        <v>14</v>
      </c>
      <c r="F164" t="inlineStr">
        <is>
          <t>8톤</t>
        </is>
      </c>
      <c r="G164" t="n">
        <v>14</v>
      </c>
      <c r="H164" t="inlineStr">
        <is>
          <t>8톤</t>
        </is>
      </c>
      <c r="I164" t="n">
        <v>14</v>
      </c>
      <c r="J164" t="inlineStr">
        <is>
          <t>8톤</t>
        </is>
      </c>
      <c r="K164" t="n">
        <v>14</v>
      </c>
      <c r="L164" t="inlineStr">
        <is>
          <t>8톤</t>
        </is>
      </c>
      <c r="M164" t="n">
        <v>14</v>
      </c>
      <c r="N164" t="inlineStr">
        <is>
          <t>8톤</t>
        </is>
      </c>
      <c r="O164" t="n">
        <v>14</v>
      </c>
      <c r="P164" t="inlineStr">
        <is>
          <t>8톤</t>
        </is>
      </c>
      <c r="Q164" t="n">
        <v>14</v>
      </c>
      <c r="R164" t="inlineStr">
        <is>
          <t>8톤</t>
        </is>
      </c>
      <c r="S164" t="n">
        <v>14</v>
      </c>
      <c r="T164" t="inlineStr">
        <is>
          <t>8톤</t>
        </is>
      </c>
      <c r="U164" t="n">
        <v>13</v>
      </c>
      <c r="V164" t="inlineStr">
        <is>
          <t>5톤</t>
        </is>
      </c>
      <c r="W164" t="n">
        <v>12</v>
      </c>
      <c r="X164" t="inlineStr">
        <is>
          <t>5톤</t>
        </is>
      </c>
      <c r="Y164" t="n">
        <v>12</v>
      </c>
    </row>
    <row r="165">
      <c r="A165" t="n">
        <v>164</v>
      </c>
      <c r="B165" t="inlineStr">
        <is>
          <t>8톤</t>
        </is>
      </c>
      <c r="C165" t="n">
        <v>14</v>
      </c>
      <c r="D165" t="inlineStr">
        <is>
          <t>8톤</t>
        </is>
      </c>
      <c r="E165" t="n">
        <v>14</v>
      </c>
      <c r="F165" t="inlineStr">
        <is>
          <t>8톤</t>
        </is>
      </c>
      <c r="G165" t="n">
        <v>14</v>
      </c>
      <c r="H165" t="inlineStr">
        <is>
          <t>8톤</t>
        </is>
      </c>
      <c r="I165" t="n">
        <v>14</v>
      </c>
      <c r="J165" t="inlineStr">
        <is>
          <t>8톤</t>
        </is>
      </c>
      <c r="K165" t="n">
        <v>14</v>
      </c>
      <c r="L165" t="inlineStr">
        <is>
          <t>8톤</t>
        </is>
      </c>
      <c r="M165" t="n">
        <v>14</v>
      </c>
      <c r="N165" t="inlineStr">
        <is>
          <t>8톤</t>
        </is>
      </c>
      <c r="O165" t="n">
        <v>14</v>
      </c>
      <c r="P165" t="inlineStr">
        <is>
          <t>8톤</t>
        </is>
      </c>
      <c r="Q165" t="n">
        <v>14</v>
      </c>
      <c r="R165" t="inlineStr">
        <is>
          <t>8톤</t>
        </is>
      </c>
      <c r="S165" t="n">
        <v>14</v>
      </c>
      <c r="T165" t="inlineStr">
        <is>
          <t>8톤</t>
        </is>
      </c>
      <c r="U165" t="n">
        <v>14</v>
      </c>
      <c r="V165" t="inlineStr">
        <is>
          <t>5톤</t>
        </is>
      </c>
      <c r="W165" t="n">
        <v>12</v>
      </c>
      <c r="X165" t="inlineStr">
        <is>
          <t>5톤</t>
        </is>
      </c>
      <c r="Y165" t="n">
        <v>12</v>
      </c>
    </row>
    <row r="166">
      <c r="A166" t="n">
        <v>165</v>
      </c>
      <c r="B166" t="inlineStr">
        <is>
          <t>8톤</t>
        </is>
      </c>
      <c r="C166" t="n">
        <v>14</v>
      </c>
      <c r="D166" t="inlineStr">
        <is>
          <t>8톤</t>
        </is>
      </c>
      <c r="E166" t="n">
        <v>14</v>
      </c>
      <c r="F166" t="inlineStr">
        <is>
          <t>8톤</t>
        </is>
      </c>
      <c r="G166" t="n">
        <v>14</v>
      </c>
      <c r="H166" t="inlineStr">
        <is>
          <t>8톤</t>
        </is>
      </c>
      <c r="I166" t="n">
        <v>14</v>
      </c>
      <c r="J166" t="inlineStr">
        <is>
          <t>8톤</t>
        </is>
      </c>
      <c r="K166" t="n">
        <v>14</v>
      </c>
      <c r="L166" t="inlineStr">
        <is>
          <t>8톤</t>
        </is>
      </c>
      <c r="M166" t="n">
        <v>14</v>
      </c>
      <c r="N166" t="inlineStr">
        <is>
          <t>8톤</t>
        </is>
      </c>
      <c r="O166" t="n">
        <v>14</v>
      </c>
      <c r="P166" t="inlineStr">
        <is>
          <t>8톤</t>
        </is>
      </c>
      <c r="Q166" t="n">
        <v>14</v>
      </c>
      <c r="R166" t="inlineStr">
        <is>
          <t>8톤</t>
        </is>
      </c>
      <c r="S166" t="n">
        <v>14</v>
      </c>
      <c r="T166" t="inlineStr">
        <is>
          <t>8톤</t>
        </is>
      </c>
      <c r="U166" t="n">
        <v>14</v>
      </c>
      <c r="V166" t="inlineStr">
        <is>
          <t>8톤</t>
        </is>
      </c>
      <c r="W166" t="n">
        <v>13</v>
      </c>
      <c r="X166" t="inlineStr">
        <is>
          <t>5톤</t>
        </is>
      </c>
      <c r="Y166" t="n">
        <v>12</v>
      </c>
    </row>
    <row r="167">
      <c r="A167" t="n">
        <v>166</v>
      </c>
      <c r="B167" t="inlineStr">
        <is>
          <t>8톤</t>
        </is>
      </c>
      <c r="C167" t="n">
        <v>14</v>
      </c>
      <c r="D167" t="inlineStr">
        <is>
          <t>8톤</t>
        </is>
      </c>
      <c r="E167" t="n">
        <v>14</v>
      </c>
      <c r="F167" t="inlineStr">
        <is>
          <t>8톤</t>
        </is>
      </c>
      <c r="G167" t="n">
        <v>14</v>
      </c>
      <c r="H167" t="inlineStr">
        <is>
          <t>8톤</t>
        </is>
      </c>
      <c r="I167" t="n">
        <v>14</v>
      </c>
      <c r="J167" t="inlineStr">
        <is>
          <t>8톤</t>
        </is>
      </c>
      <c r="K167" t="n">
        <v>14</v>
      </c>
      <c r="L167" t="inlineStr">
        <is>
          <t>8톤</t>
        </is>
      </c>
      <c r="M167" t="n">
        <v>14</v>
      </c>
      <c r="N167" t="inlineStr">
        <is>
          <t>8톤</t>
        </is>
      </c>
      <c r="O167" t="n">
        <v>14</v>
      </c>
      <c r="P167" t="inlineStr">
        <is>
          <t>8톤</t>
        </is>
      </c>
      <c r="Q167" t="n">
        <v>14</v>
      </c>
      <c r="R167" t="inlineStr">
        <is>
          <t>8톤</t>
        </is>
      </c>
      <c r="S167" t="n">
        <v>14</v>
      </c>
      <c r="T167" t="inlineStr">
        <is>
          <t>8톤</t>
        </is>
      </c>
      <c r="U167" t="n">
        <v>14</v>
      </c>
      <c r="V167" t="inlineStr">
        <is>
          <t>8톤</t>
        </is>
      </c>
      <c r="W167" t="n">
        <v>14</v>
      </c>
      <c r="X167" t="inlineStr">
        <is>
          <t>5톤</t>
        </is>
      </c>
      <c r="Y167" t="n">
        <v>12</v>
      </c>
    </row>
    <row r="168">
      <c r="A168" t="n">
        <v>167</v>
      </c>
      <c r="B168" t="inlineStr">
        <is>
          <t>8톤</t>
        </is>
      </c>
      <c r="C168" t="n">
        <v>14</v>
      </c>
      <c r="D168" t="inlineStr">
        <is>
          <t>8톤</t>
        </is>
      </c>
      <c r="E168" t="n">
        <v>14</v>
      </c>
      <c r="F168" t="inlineStr">
        <is>
          <t>8톤</t>
        </is>
      </c>
      <c r="G168" t="n">
        <v>14</v>
      </c>
      <c r="H168" t="inlineStr">
        <is>
          <t>8톤</t>
        </is>
      </c>
      <c r="I168" t="n">
        <v>14</v>
      </c>
      <c r="J168" t="inlineStr">
        <is>
          <t>8톤</t>
        </is>
      </c>
      <c r="K168" t="n">
        <v>14</v>
      </c>
      <c r="L168" t="inlineStr">
        <is>
          <t>8톤</t>
        </is>
      </c>
      <c r="M168" t="n">
        <v>14</v>
      </c>
      <c r="N168" t="inlineStr">
        <is>
          <t>8톤</t>
        </is>
      </c>
      <c r="O168" t="n">
        <v>14</v>
      </c>
      <c r="P168" t="inlineStr">
        <is>
          <t>8톤</t>
        </is>
      </c>
      <c r="Q168" t="n">
        <v>14</v>
      </c>
      <c r="R168" t="inlineStr">
        <is>
          <t>8톤</t>
        </is>
      </c>
      <c r="S168" t="n">
        <v>14</v>
      </c>
      <c r="T168" t="inlineStr">
        <is>
          <t>8톤</t>
        </is>
      </c>
      <c r="U168" t="n">
        <v>14</v>
      </c>
      <c r="V168" t="inlineStr">
        <is>
          <t>8톤</t>
        </is>
      </c>
      <c r="W168" t="n">
        <v>14</v>
      </c>
      <c r="X168" t="inlineStr">
        <is>
          <t>8톤</t>
        </is>
      </c>
      <c r="Y168" t="n">
        <v>13</v>
      </c>
    </row>
    <row r="169">
      <c r="A169" t="n">
        <v>168</v>
      </c>
      <c r="B169" t="inlineStr">
        <is>
          <t>8톤</t>
        </is>
      </c>
      <c r="C169" t="n">
        <v>14</v>
      </c>
      <c r="D169" t="inlineStr">
        <is>
          <t>8톤</t>
        </is>
      </c>
      <c r="E169" t="n">
        <v>14</v>
      </c>
      <c r="F169" t="inlineStr">
        <is>
          <t>8톤</t>
        </is>
      </c>
      <c r="G169" t="n">
        <v>14</v>
      </c>
      <c r="H169" t="inlineStr">
        <is>
          <t>8톤</t>
        </is>
      </c>
      <c r="I169" t="n">
        <v>14</v>
      </c>
      <c r="J169" t="inlineStr">
        <is>
          <t>8톤</t>
        </is>
      </c>
      <c r="K169" t="n">
        <v>14</v>
      </c>
      <c r="L169" t="inlineStr">
        <is>
          <t>8톤</t>
        </is>
      </c>
      <c r="M169" t="n">
        <v>14</v>
      </c>
      <c r="N169" t="inlineStr">
        <is>
          <t>8톤</t>
        </is>
      </c>
      <c r="O169" t="n">
        <v>14</v>
      </c>
      <c r="P169" t="inlineStr">
        <is>
          <t>8톤</t>
        </is>
      </c>
      <c r="Q169" t="n">
        <v>14</v>
      </c>
      <c r="R169" t="inlineStr">
        <is>
          <t>8톤</t>
        </is>
      </c>
      <c r="S169" t="n">
        <v>14</v>
      </c>
      <c r="T169" t="inlineStr">
        <is>
          <t>8톤</t>
        </is>
      </c>
      <c r="U169" t="n">
        <v>14</v>
      </c>
      <c r="V169" t="inlineStr">
        <is>
          <t>8톤</t>
        </is>
      </c>
      <c r="W169" t="n">
        <v>14</v>
      </c>
      <c r="X169" t="inlineStr">
        <is>
          <t>8톤</t>
        </is>
      </c>
      <c r="Y169" t="n">
        <v>14</v>
      </c>
    </row>
    <row r="170">
      <c r="A170" t="n">
        <v>169</v>
      </c>
      <c r="B170" t="inlineStr">
        <is>
          <t>11톤</t>
        </is>
      </c>
      <c r="C170" t="n">
        <v>15</v>
      </c>
      <c r="D170" t="inlineStr">
        <is>
          <t>8톤</t>
        </is>
      </c>
      <c r="E170" t="n">
        <v>14</v>
      </c>
      <c r="F170" t="inlineStr">
        <is>
          <t>8톤</t>
        </is>
      </c>
      <c r="G170" t="n">
        <v>14</v>
      </c>
      <c r="H170" t="inlineStr">
        <is>
          <t>8톤</t>
        </is>
      </c>
      <c r="I170" t="n">
        <v>14</v>
      </c>
      <c r="J170" t="inlineStr">
        <is>
          <t>8톤</t>
        </is>
      </c>
      <c r="K170" t="n">
        <v>14</v>
      </c>
      <c r="L170" t="inlineStr">
        <is>
          <t>8톤</t>
        </is>
      </c>
      <c r="M170" t="n">
        <v>14</v>
      </c>
      <c r="N170" t="inlineStr">
        <is>
          <t>8톤</t>
        </is>
      </c>
      <c r="O170" t="n">
        <v>14</v>
      </c>
      <c r="P170" t="inlineStr">
        <is>
          <t>8톤</t>
        </is>
      </c>
      <c r="Q170" t="n">
        <v>14</v>
      </c>
      <c r="R170" t="inlineStr">
        <is>
          <t>8톤</t>
        </is>
      </c>
      <c r="S170" t="n">
        <v>14</v>
      </c>
      <c r="T170" t="inlineStr">
        <is>
          <t>8톤</t>
        </is>
      </c>
      <c r="U170" t="n">
        <v>14</v>
      </c>
      <c r="V170" t="inlineStr">
        <is>
          <t>8톤</t>
        </is>
      </c>
      <c r="W170" t="n">
        <v>14</v>
      </c>
      <c r="X170" t="inlineStr">
        <is>
          <t>8톤</t>
        </is>
      </c>
      <c r="Y170" t="n">
        <v>14</v>
      </c>
    </row>
    <row r="171">
      <c r="A171" t="n">
        <v>170</v>
      </c>
      <c r="B171" t="inlineStr">
        <is>
          <t>11톤</t>
        </is>
      </c>
      <c r="C171" t="n">
        <v>16</v>
      </c>
      <c r="D171" t="inlineStr">
        <is>
          <t>8톤</t>
        </is>
      </c>
      <c r="E171" t="n">
        <v>14</v>
      </c>
      <c r="F171" t="inlineStr">
        <is>
          <t>8톤</t>
        </is>
      </c>
      <c r="G171" t="n">
        <v>14</v>
      </c>
      <c r="H171" t="inlineStr">
        <is>
          <t>8톤</t>
        </is>
      </c>
      <c r="I171" t="n">
        <v>14</v>
      </c>
      <c r="J171" t="inlineStr">
        <is>
          <t>8톤</t>
        </is>
      </c>
      <c r="K171" t="n">
        <v>14</v>
      </c>
      <c r="L171" t="inlineStr">
        <is>
          <t>8톤</t>
        </is>
      </c>
      <c r="M171" t="n">
        <v>14</v>
      </c>
      <c r="N171" t="inlineStr">
        <is>
          <t>8톤</t>
        </is>
      </c>
      <c r="O171" t="n">
        <v>14</v>
      </c>
      <c r="P171" t="inlineStr">
        <is>
          <t>8톤</t>
        </is>
      </c>
      <c r="Q171" t="n">
        <v>14</v>
      </c>
      <c r="R171" t="inlineStr">
        <is>
          <t>8톤</t>
        </is>
      </c>
      <c r="S171" t="n">
        <v>14</v>
      </c>
      <c r="T171" t="inlineStr">
        <is>
          <t>8톤</t>
        </is>
      </c>
      <c r="U171" t="n">
        <v>14</v>
      </c>
      <c r="V171" t="inlineStr">
        <is>
          <t>8톤</t>
        </is>
      </c>
      <c r="W171" t="n">
        <v>14</v>
      </c>
      <c r="X171" t="inlineStr">
        <is>
          <t>8톤</t>
        </is>
      </c>
      <c r="Y171" t="n">
        <v>14</v>
      </c>
    </row>
    <row r="172">
      <c r="A172" t="n">
        <v>171</v>
      </c>
      <c r="B172" t="inlineStr">
        <is>
          <t>11톤</t>
        </is>
      </c>
      <c r="C172" t="n">
        <v>16</v>
      </c>
      <c r="D172" t="inlineStr">
        <is>
          <t>11톤</t>
        </is>
      </c>
      <c r="E172" t="n">
        <v>15</v>
      </c>
      <c r="F172" t="inlineStr">
        <is>
          <t>8톤</t>
        </is>
      </c>
      <c r="G172" t="n">
        <v>14</v>
      </c>
      <c r="H172" t="inlineStr">
        <is>
          <t>8톤</t>
        </is>
      </c>
      <c r="I172" t="n">
        <v>14</v>
      </c>
      <c r="J172" t="inlineStr">
        <is>
          <t>8톤</t>
        </is>
      </c>
      <c r="K172" t="n">
        <v>14</v>
      </c>
      <c r="L172" t="inlineStr">
        <is>
          <t>8톤</t>
        </is>
      </c>
      <c r="M172" t="n">
        <v>14</v>
      </c>
      <c r="N172" t="inlineStr">
        <is>
          <t>8톤</t>
        </is>
      </c>
      <c r="O172" t="n">
        <v>14</v>
      </c>
      <c r="P172" t="inlineStr">
        <is>
          <t>8톤</t>
        </is>
      </c>
      <c r="Q172" t="n">
        <v>14</v>
      </c>
      <c r="R172" t="inlineStr">
        <is>
          <t>8톤</t>
        </is>
      </c>
      <c r="S172" t="n">
        <v>14</v>
      </c>
      <c r="T172" t="inlineStr">
        <is>
          <t>8톤</t>
        </is>
      </c>
      <c r="U172" t="n">
        <v>14</v>
      </c>
      <c r="V172" t="inlineStr">
        <is>
          <t>8톤</t>
        </is>
      </c>
      <c r="W172" t="n">
        <v>14</v>
      </c>
      <c r="X172" t="inlineStr">
        <is>
          <t>8톤</t>
        </is>
      </c>
      <c r="Y172" t="n">
        <v>14</v>
      </c>
    </row>
    <row r="173">
      <c r="A173" t="n">
        <v>172</v>
      </c>
      <c r="B173" t="inlineStr">
        <is>
          <t>11톤</t>
        </is>
      </c>
      <c r="C173" t="n">
        <v>16</v>
      </c>
      <c r="D173" t="inlineStr">
        <is>
          <t>11톤</t>
        </is>
      </c>
      <c r="E173" t="n">
        <v>16</v>
      </c>
      <c r="F173" t="inlineStr">
        <is>
          <t>8톤</t>
        </is>
      </c>
      <c r="G173" t="n">
        <v>14</v>
      </c>
      <c r="H173" t="inlineStr">
        <is>
          <t>8톤</t>
        </is>
      </c>
      <c r="I173" t="n">
        <v>14</v>
      </c>
      <c r="J173" t="inlineStr">
        <is>
          <t>8톤</t>
        </is>
      </c>
      <c r="K173" t="n">
        <v>14</v>
      </c>
      <c r="L173" t="inlineStr">
        <is>
          <t>8톤</t>
        </is>
      </c>
      <c r="M173" t="n">
        <v>14</v>
      </c>
      <c r="N173" t="inlineStr">
        <is>
          <t>8톤</t>
        </is>
      </c>
      <c r="O173" t="n">
        <v>14</v>
      </c>
      <c r="P173" t="inlineStr">
        <is>
          <t>8톤</t>
        </is>
      </c>
      <c r="Q173" t="n">
        <v>14</v>
      </c>
      <c r="R173" t="inlineStr">
        <is>
          <t>8톤</t>
        </is>
      </c>
      <c r="S173" t="n">
        <v>14</v>
      </c>
      <c r="T173" t="inlineStr">
        <is>
          <t>8톤</t>
        </is>
      </c>
      <c r="U173" t="n">
        <v>14</v>
      </c>
      <c r="V173" t="inlineStr">
        <is>
          <t>8톤</t>
        </is>
      </c>
      <c r="W173" t="n">
        <v>14</v>
      </c>
      <c r="X173" t="inlineStr">
        <is>
          <t>8톤</t>
        </is>
      </c>
      <c r="Y173" t="n">
        <v>14</v>
      </c>
    </row>
    <row r="174">
      <c r="A174" t="n">
        <v>173</v>
      </c>
      <c r="B174" t="inlineStr">
        <is>
          <t>11톤</t>
        </is>
      </c>
      <c r="C174" t="n">
        <v>16</v>
      </c>
      <c r="D174" t="inlineStr">
        <is>
          <t>11톤</t>
        </is>
      </c>
      <c r="E174" t="n">
        <v>16</v>
      </c>
      <c r="F174" t="inlineStr">
        <is>
          <t>11톤</t>
        </is>
      </c>
      <c r="G174" t="n">
        <v>15</v>
      </c>
      <c r="H174" t="inlineStr">
        <is>
          <t>8톤</t>
        </is>
      </c>
      <c r="I174" t="n">
        <v>14</v>
      </c>
      <c r="J174" t="inlineStr">
        <is>
          <t>8톤</t>
        </is>
      </c>
      <c r="K174" t="n">
        <v>14</v>
      </c>
      <c r="L174" t="inlineStr">
        <is>
          <t>8톤</t>
        </is>
      </c>
      <c r="M174" t="n">
        <v>14</v>
      </c>
      <c r="N174" t="inlineStr">
        <is>
          <t>8톤</t>
        </is>
      </c>
      <c r="O174" t="n">
        <v>14</v>
      </c>
      <c r="P174" t="inlineStr">
        <is>
          <t>8톤</t>
        </is>
      </c>
      <c r="Q174" t="n">
        <v>14</v>
      </c>
      <c r="R174" t="inlineStr">
        <is>
          <t>8톤</t>
        </is>
      </c>
      <c r="S174" t="n">
        <v>14</v>
      </c>
      <c r="T174" t="inlineStr">
        <is>
          <t>8톤</t>
        </is>
      </c>
      <c r="U174" t="n">
        <v>14</v>
      </c>
      <c r="V174" t="inlineStr">
        <is>
          <t>8톤</t>
        </is>
      </c>
      <c r="W174" t="n">
        <v>14</v>
      </c>
      <c r="X174" t="inlineStr">
        <is>
          <t>8톤</t>
        </is>
      </c>
      <c r="Y174" t="n">
        <v>14</v>
      </c>
    </row>
    <row r="175">
      <c r="A175" t="n">
        <v>174</v>
      </c>
      <c r="B175" t="inlineStr">
        <is>
          <t>11톤</t>
        </is>
      </c>
      <c r="C175" t="n">
        <v>16</v>
      </c>
      <c r="D175" t="inlineStr">
        <is>
          <t>11톤</t>
        </is>
      </c>
      <c r="E175" t="n">
        <v>16</v>
      </c>
      <c r="F175" t="inlineStr">
        <is>
          <t>11톤</t>
        </is>
      </c>
      <c r="G175" t="n">
        <v>16</v>
      </c>
      <c r="H175" t="inlineStr">
        <is>
          <t>8톤</t>
        </is>
      </c>
      <c r="I175" t="n">
        <v>14</v>
      </c>
      <c r="J175" t="inlineStr">
        <is>
          <t>8톤</t>
        </is>
      </c>
      <c r="K175" t="n">
        <v>14</v>
      </c>
      <c r="L175" t="inlineStr">
        <is>
          <t>8톤</t>
        </is>
      </c>
      <c r="M175" t="n">
        <v>14</v>
      </c>
      <c r="N175" t="inlineStr">
        <is>
          <t>8톤</t>
        </is>
      </c>
      <c r="O175" t="n">
        <v>14</v>
      </c>
      <c r="P175" t="inlineStr">
        <is>
          <t>8톤</t>
        </is>
      </c>
      <c r="Q175" t="n">
        <v>14</v>
      </c>
      <c r="R175" t="inlineStr">
        <is>
          <t>8톤</t>
        </is>
      </c>
      <c r="S175" t="n">
        <v>14</v>
      </c>
      <c r="T175" t="inlineStr">
        <is>
          <t>8톤</t>
        </is>
      </c>
      <c r="U175" t="n">
        <v>14</v>
      </c>
      <c r="V175" t="inlineStr">
        <is>
          <t>8톤</t>
        </is>
      </c>
      <c r="W175" t="n">
        <v>14</v>
      </c>
      <c r="X175" t="inlineStr">
        <is>
          <t>8톤</t>
        </is>
      </c>
      <c r="Y175" t="n">
        <v>14</v>
      </c>
    </row>
    <row r="176">
      <c r="A176" t="n">
        <v>175</v>
      </c>
      <c r="B176" t="inlineStr">
        <is>
          <t>11톤</t>
        </is>
      </c>
      <c r="C176" t="n">
        <v>16</v>
      </c>
      <c r="D176" t="inlineStr">
        <is>
          <t>11톤</t>
        </is>
      </c>
      <c r="E176" t="n">
        <v>16</v>
      </c>
      <c r="F176" t="inlineStr">
        <is>
          <t>11톤</t>
        </is>
      </c>
      <c r="G176" t="n">
        <v>16</v>
      </c>
      <c r="H176" t="inlineStr">
        <is>
          <t>11톤</t>
        </is>
      </c>
      <c r="I176" t="n">
        <v>15</v>
      </c>
      <c r="J176" t="inlineStr">
        <is>
          <t>8톤</t>
        </is>
      </c>
      <c r="K176" t="n">
        <v>14</v>
      </c>
      <c r="L176" t="inlineStr">
        <is>
          <t>8톤</t>
        </is>
      </c>
      <c r="M176" t="n">
        <v>14</v>
      </c>
      <c r="N176" t="inlineStr">
        <is>
          <t>8톤</t>
        </is>
      </c>
      <c r="O176" t="n">
        <v>14</v>
      </c>
      <c r="P176" t="inlineStr">
        <is>
          <t>8톤</t>
        </is>
      </c>
      <c r="Q176" t="n">
        <v>14</v>
      </c>
      <c r="R176" t="inlineStr">
        <is>
          <t>8톤</t>
        </is>
      </c>
      <c r="S176" t="n">
        <v>14</v>
      </c>
      <c r="T176" t="inlineStr">
        <is>
          <t>8톤</t>
        </is>
      </c>
      <c r="U176" t="n">
        <v>14</v>
      </c>
      <c r="V176" t="inlineStr">
        <is>
          <t>8톤</t>
        </is>
      </c>
      <c r="W176" t="n">
        <v>14</v>
      </c>
      <c r="X176" t="inlineStr">
        <is>
          <t>8톤</t>
        </is>
      </c>
      <c r="Y176" t="n">
        <v>14</v>
      </c>
    </row>
    <row r="177">
      <c r="A177" t="n">
        <v>176</v>
      </c>
      <c r="B177" t="inlineStr">
        <is>
          <t>11톤</t>
        </is>
      </c>
      <c r="C177" t="n">
        <v>16</v>
      </c>
      <c r="D177" t="inlineStr">
        <is>
          <t>11톤</t>
        </is>
      </c>
      <c r="E177" t="n">
        <v>16</v>
      </c>
      <c r="F177" t="inlineStr">
        <is>
          <t>11톤</t>
        </is>
      </c>
      <c r="G177" t="n">
        <v>16</v>
      </c>
      <c r="H177" t="inlineStr">
        <is>
          <t>11톤</t>
        </is>
      </c>
      <c r="I177" t="n">
        <v>16</v>
      </c>
      <c r="J177" t="inlineStr">
        <is>
          <t>8톤</t>
        </is>
      </c>
      <c r="K177" t="n">
        <v>14</v>
      </c>
      <c r="L177" t="inlineStr">
        <is>
          <t>8톤</t>
        </is>
      </c>
      <c r="M177" t="n">
        <v>14</v>
      </c>
      <c r="N177" t="inlineStr">
        <is>
          <t>8톤</t>
        </is>
      </c>
      <c r="O177" t="n">
        <v>14</v>
      </c>
      <c r="P177" t="inlineStr">
        <is>
          <t>8톤</t>
        </is>
      </c>
      <c r="Q177" t="n">
        <v>14</v>
      </c>
      <c r="R177" t="inlineStr">
        <is>
          <t>8톤</t>
        </is>
      </c>
      <c r="S177" t="n">
        <v>14</v>
      </c>
      <c r="T177" t="inlineStr">
        <is>
          <t>8톤</t>
        </is>
      </c>
      <c r="U177" t="n">
        <v>14</v>
      </c>
      <c r="V177" t="inlineStr">
        <is>
          <t>8톤</t>
        </is>
      </c>
      <c r="W177" t="n">
        <v>14</v>
      </c>
      <c r="X177" t="inlineStr">
        <is>
          <t>8톤</t>
        </is>
      </c>
      <c r="Y177" t="n">
        <v>14</v>
      </c>
    </row>
    <row r="178">
      <c r="A178" t="n">
        <v>177</v>
      </c>
      <c r="B178" t="inlineStr">
        <is>
          <t>8톤</t>
        </is>
      </c>
      <c r="C178" t="n">
        <v>14</v>
      </c>
      <c r="D178" t="inlineStr">
        <is>
          <t>8톤</t>
        </is>
      </c>
      <c r="E178" t="n">
        <v>14</v>
      </c>
      <c r="F178" t="inlineStr">
        <is>
          <t>8톤</t>
        </is>
      </c>
      <c r="G178" t="n">
        <v>14</v>
      </c>
      <c r="H178" t="inlineStr">
        <is>
          <t>8톤</t>
        </is>
      </c>
      <c r="I178" t="n">
        <v>14</v>
      </c>
      <c r="J178" t="inlineStr">
        <is>
          <t>8톤</t>
        </is>
      </c>
      <c r="K178" t="n">
        <v>14</v>
      </c>
      <c r="L178" t="inlineStr">
        <is>
          <t>8톤</t>
        </is>
      </c>
      <c r="M178" t="n">
        <v>14</v>
      </c>
      <c r="N178" t="inlineStr">
        <is>
          <t>8톤</t>
        </is>
      </c>
      <c r="O178" t="n">
        <v>14</v>
      </c>
      <c r="P178" t="inlineStr">
        <is>
          <t>8톤</t>
        </is>
      </c>
      <c r="Q178" t="n">
        <v>14</v>
      </c>
      <c r="R178" t="inlineStr">
        <is>
          <t>8톤</t>
        </is>
      </c>
      <c r="S178" t="n">
        <v>14</v>
      </c>
      <c r="T178" t="inlineStr">
        <is>
          <t>8톤</t>
        </is>
      </c>
      <c r="U178" t="n">
        <v>14</v>
      </c>
      <c r="V178" t="inlineStr">
        <is>
          <t>8톤</t>
        </is>
      </c>
      <c r="W178" t="n">
        <v>13</v>
      </c>
      <c r="X178" t="inlineStr">
        <is>
          <t>5톤</t>
        </is>
      </c>
      <c r="Y178" t="n">
        <v>12</v>
      </c>
      <c r="Z178" t="inlineStr">
        <is>
          <t>5톤</t>
        </is>
      </c>
      <c r="AA178" t="n">
        <v>12</v>
      </c>
    </row>
    <row r="179">
      <c r="A179" t="n">
        <v>178</v>
      </c>
      <c r="B179" t="inlineStr">
        <is>
          <t>8톤</t>
        </is>
      </c>
      <c r="C179" t="n">
        <v>14</v>
      </c>
      <c r="D179" t="inlineStr">
        <is>
          <t>8톤</t>
        </is>
      </c>
      <c r="E179" t="n">
        <v>14</v>
      </c>
      <c r="F179" t="inlineStr">
        <is>
          <t>8톤</t>
        </is>
      </c>
      <c r="G179" t="n">
        <v>14</v>
      </c>
      <c r="H179" t="inlineStr">
        <is>
          <t>8톤</t>
        </is>
      </c>
      <c r="I179" t="n">
        <v>14</v>
      </c>
      <c r="J179" t="inlineStr">
        <is>
          <t>8톤</t>
        </is>
      </c>
      <c r="K179" t="n">
        <v>14</v>
      </c>
      <c r="L179" t="inlineStr">
        <is>
          <t>8톤</t>
        </is>
      </c>
      <c r="M179" t="n">
        <v>14</v>
      </c>
      <c r="N179" t="inlineStr">
        <is>
          <t>8톤</t>
        </is>
      </c>
      <c r="O179" t="n">
        <v>14</v>
      </c>
      <c r="P179" t="inlineStr">
        <is>
          <t>8톤</t>
        </is>
      </c>
      <c r="Q179" t="n">
        <v>14</v>
      </c>
      <c r="R179" t="inlineStr">
        <is>
          <t>8톤</t>
        </is>
      </c>
      <c r="S179" t="n">
        <v>14</v>
      </c>
      <c r="T179" t="inlineStr">
        <is>
          <t>8톤</t>
        </is>
      </c>
      <c r="U179" t="n">
        <v>14</v>
      </c>
      <c r="V179" t="inlineStr">
        <is>
          <t>8톤</t>
        </is>
      </c>
      <c r="W179" t="n">
        <v>14</v>
      </c>
      <c r="X179" t="inlineStr">
        <is>
          <t>5톤</t>
        </is>
      </c>
      <c r="Y179" t="n">
        <v>12</v>
      </c>
      <c r="Z179" t="inlineStr">
        <is>
          <t>5톤</t>
        </is>
      </c>
      <c r="AA179" t="n">
        <v>12</v>
      </c>
    </row>
    <row r="180">
      <c r="A180" t="n">
        <v>179</v>
      </c>
      <c r="B180" t="inlineStr">
        <is>
          <t>8톤</t>
        </is>
      </c>
      <c r="C180" t="n">
        <v>14</v>
      </c>
      <c r="D180" t="inlineStr">
        <is>
          <t>8톤</t>
        </is>
      </c>
      <c r="E180" t="n">
        <v>14</v>
      </c>
      <c r="F180" t="inlineStr">
        <is>
          <t>8톤</t>
        </is>
      </c>
      <c r="G180" t="n">
        <v>14</v>
      </c>
      <c r="H180" t="inlineStr">
        <is>
          <t>8톤</t>
        </is>
      </c>
      <c r="I180" t="n">
        <v>14</v>
      </c>
      <c r="J180" t="inlineStr">
        <is>
          <t>8톤</t>
        </is>
      </c>
      <c r="K180" t="n">
        <v>14</v>
      </c>
      <c r="L180" t="inlineStr">
        <is>
          <t>8톤</t>
        </is>
      </c>
      <c r="M180" t="n">
        <v>14</v>
      </c>
      <c r="N180" t="inlineStr">
        <is>
          <t>8톤</t>
        </is>
      </c>
      <c r="O180" t="n">
        <v>14</v>
      </c>
      <c r="P180" t="inlineStr">
        <is>
          <t>8톤</t>
        </is>
      </c>
      <c r="Q180" t="n">
        <v>14</v>
      </c>
      <c r="R180" t="inlineStr">
        <is>
          <t>8톤</t>
        </is>
      </c>
      <c r="S180" t="n">
        <v>14</v>
      </c>
      <c r="T180" t="inlineStr">
        <is>
          <t>8톤</t>
        </is>
      </c>
      <c r="U180" t="n">
        <v>14</v>
      </c>
      <c r="V180" t="inlineStr">
        <is>
          <t>8톤</t>
        </is>
      </c>
      <c r="W180" t="n">
        <v>14</v>
      </c>
      <c r="X180" t="inlineStr">
        <is>
          <t>8톤</t>
        </is>
      </c>
      <c r="Y180" t="n">
        <v>13</v>
      </c>
      <c r="Z180" t="inlineStr">
        <is>
          <t>5톤</t>
        </is>
      </c>
      <c r="AA180" t="n">
        <v>12</v>
      </c>
    </row>
    <row r="181">
      <c r="A181" t="n">
        <v>180</v>
      </c>
      <c r="B181" t="inlineStr">
        <is>
          <t>8톤</t>
        </is>
      </c>
      <c r="C181" t="n">
        <v>14</v>
      </c>
      <c r="D181" t="inlineStr">
        <is>
          <t>8톤</t>
        </is>
      </c>
      <c r="E181" t="n">
        <v>14</v>
      </c>
      <c r="F181" t="inlineStr">
        <is>
          <t>8톤</t>
        </is>
      </c>
      <c r="G181" t="n">
        <v>14</v>
      </c>
      <c r="H181" t="inlineStr">
        <is>
          <t>8톤</t>
        </is>
      </c>
      <c r="I181" t="n">
        <v>14</v>
      </c>
      <c r="J181" t="inlineStr">
        <is>
          <t>8톤</t>
        </is>
      </c>
      <c r="K181" t="n">
        <v>14</v>
      </c>
      <c r="L181" t="inlineStr">
        <is>
          <t>8톤</t>
        </is>
      </c>
      <c r="M181" t="n">
        <v>14</v>
      </c>
      <c r="N181" t="inlineStr">
        <is>
          <t>8톤</t>
        </is>
      </c>
      <c r="O181" t="n">
        <v>14</v>
      </c>
      <c r="P181" t="inlineStr">
        <is>
          <t>8톤</t>
        </is>
      </c>
      <c r="Q181" t="n">
        <v>14</v>
      </c>
      <c r="R181" t="inlineStr">
        <is>
          <t>8톤</t>
        </is>
      </c>
      <c r="S181" t="n">
        <v>14</v>
      </c>
      <c r="T181" t="inlineStr">
        <is>
          <t>8톤</t>
        </is>
      </c>
      <c r="U181" t="n">
        <v>14</v>
      </c>
      <c r="V181" t="inlineStr">
        <is>
          <t>8톤</t>
        </is>
      </c>
      <c r="W181" t="n">
        <v>14</v>
      </c>
      <c r="X181" t="inlineStr">
        <is>
          <t>8톤</t>
        </is>
      </c>
      <c r="Y181" t="n">
        <v>14</v>
      </c>
      <c r="Z181" t="inlineStr">
        <is>
          <t>5톤</t>
        </is>
      </c>
      <c r="AA181" t="n">
        <v>12</v>
      </c>
    </row>
    <row r="182">
      <c r="A182" t="n">
        <v>181</v>
      </c>
      <c r="B182" t="inlineStr">
        <is>
          <t>8톤</t>
        </is>
      </c>
      <c r="C182" t="n">
        <v>14</v>
      </c>
      <c r="D182" t="inlineStr">
        <is>
          <t>8톤</t>
        </is>
      </c>
      <c r="E182" t="n">
        <v>14</v>
      </c>
      <c r="F182" t="inlineStr">
        <is>
          <t>8톤</t>
        </is>
      </c>
      <c r="G182" t="n">
        <v>14</v>
      </c>
      <c r="H182" t="inlineStr">
        <is>
          <t>8톤</t>
        </is>
      </c>
      <c r="I182" t="n">
        <v>14</v>
      </c>
      <c r="J182" t="inlineStr">
        <is>
          <t>8톤</t>
        </is>
      </c>
      <c r="K182" t="n">
        <v>14</v>
      </c>
      <c r="L182" t="inlineStr">
        <is>
          <t>8톤</t>
        </is>
      </c>
      <c r="M182" t="n">
        <v>14</v>
      </c>
      <c r="N182" t="inlineStr">
        <is>
          <t>8톤</t>
        </is>
      </c>
      <c r="O182" t="n">
        <v>14</v>
      </c>
      <c r="P182" t="inlineStr">
        <is>
          <t>8톤</t>
        </is>
      </c>
      <c r="Q182" t="n">
        <v>14</v>
      </c>
      <c r="R182" t="inlineStr">
        <is>
          <t>8톤</t>
        </is>
      </c>
      <c r="S182" t="n">
        <v>14</v>
      </c>
      <c r="T182" t="inlineStr">
        <is>
          <t>8톤</t>
        </is>
      </c>
      <c r="U182" t="n">
        <v>14</v>
      </c>
      <c r="V182" t="inlineStr">
        <is>
          <t>8톤</t>
        </is>
      </c>
      <c r="W182" t="n">
        <v>14</v>
      </c>
      <c r="X182" t="inlineStr">
        <is>
          <t>8톤</t>
        </is>
      </c>
      <c r="Y182" t="n">
        <v>14</v>
      </c>
      <c r="Z182" t="inlineStr">
        <is>
          <t>8톤</t>
        </is>
      </c>
      <c r="AA182" t="n">
        <v>13</v>
      </c>
    </row>
    <row r="183">
      <c r="A183" t="n">
        <v>182</v>
      </c>
      <c r="B183" t="inlineStr">
        <is>
          <t>8톤</t>
        </is>
      </c>
      <c r="C183" t="n">
        <v>14</v>
      </c>
      <c r="D183" t="inlineStr">
        <is>
          <t>8톤</t>
        </is>
      </c>
      <c r="E183" t="n">
        <v>14</v>
      </c>
      <c r="F183" t="inlineStr">
        <is>
          <t>8톤</t>
        </is>
      </c>
      <c r="G183" t="n">
        <v>14</v>
      </c>
      <c r="H183" t="inlineStr">
        <is>
          <t>8톤</t>
        </is>
      </c>
      <c r="I183" t="n">
        <v>14</v>
      </c>
      <c r="J183" t="inlineStr">
        <is>
          <t>8톤</t>
        </is>
      </c>
      <c r="K183" t="n">
        <v>14</v>
      </c>
      <c r="L183" t="inlineStr">
        <is>
          <t>8톤</t>
        </is>
      </c>
      <c r="M183" t="n">
        <v>14</v>
      </c>
      <c r="N183" t="inlineStr">
        <is>
          <t>8톤</t>
        </is>
      </c>
      <c r="O183" t="n">
        <v>14</v>
      </c>
      <c r="P183" t="inlineStr">
        <is>
          <t>8톤</t>
        </is>
      </c>
      <c r="Q183" t="n">
        <v>14</v>
      </c>
      <c r="R183" t="inlineStr">
        <is>
          <t>8톤</t>
        </is>
      </c>
      <c r="S183" t="n">
        <v>14</v>
      </c>
      <c r="T183" t="inlineStr">
        <is>
          <t>8톤</t>
        </is>
      </c>
      <c r="U183" t="n">
        <v>14</v>
      </c>
      <c r="V183" t="inlineStr">
        <is>
          <t>8톤</t>
        </is>
      </c>
      <c r="W183" t="n">
        <v>14</v>
      </c>
      <c r="X183" t="inlineStr">
        <is>
          <t>8톤</t>
        </is>
      </c>
      <c r="Y183" t="n">
        <v>14</v>
      </c>
      <c r="Z183" t="inlineStr">
        <is>
          <t>8톤</t>
        </is>
      </c>
      <c r="AA183" t="n">
        <v>14</v>
      </c>
    </row>
    <row r="184">
      <c r="A184" t="n">
        <v>183</v>
      </c>
      <c r="B184" t="inlineStr">
        <is>
          <t>11톤</t>
        </is>
      </c>
      <c r="C184" t="n">
        <v>15</v>
      </c>
      <c r="D184" t="inlineStr">
        <is>
          <t>8톤</t>
        </is>
      </c>
      <c r="E184" t="n">
        <v>14</v>
      </c>
      <c r="F184" t="inlineStr">
        <is>
          <t>8톤</t>
        </is>
      </c>
      <c r="G184" t="n">
        <v>14</v>
      </c>
      <c r="H184" t="inlineStr">
        <is>
          <t>8톤</t>
        </is>
      </c>
      <c r="I184" t="n">
        <v>14</v>
      </c>
      <c r="J184" t="inlineStr">
        <is>
          <t>8톤</t>
        </is>
      </c>
      <c r="K184" t="n">
        <v>14</v>
      </c>
      <c r="L184" t="inlineStr">
        <is>
          <t>8톤</t>
        </is>
      </c>
      <c r="M184" t="n">
        <v>14</v>
      </c>
      <c r="N184" t="inlineStr">
        <is>
          <t>8톤</t>
        </is>
      </c>
      <c r="O184" t="n">
        <v>14</v>
      </c>
      <c r="P184" t="inlineStr">
        <is>
          <t>8톤</t>
        </is>
      </c>
      <c r="Q184" t="n">
        <v>14</v>
      </c>
      <c r="R184" t="inlineStr">
        <is>
          <t>8톤</t>
        </is>
      </c>
      <c r="S184" t="n">
        <v>14</v>
      </c>
      <c r="T184" t="inlineStr">
        <is>
          <t>8톤</t>
        </is>
      </c>
      <c r="U184" t="n">
        <v>14</v>
      </c>
      <c r="V184" t="inlineStr">
        <is>
          <t>8톤</t>
        </is>
      </c>
      <c r="W184" t="n">
        <v>14</v>
      </c>
      <c r="X184" t="inlineStr">
        <is>
          <t>8톤</t>
        </is>
      </c>
      <c r="Y184" t="n">
        <v>14</v>
      </c>
      <c r="Z184" t="inlineStr">
        <is>
          <t>8톤</t>
        </is>
      </c>
      <c r="AA184" t="n">
        <v>14</v>
      </c>
    </row>
    <row r="185">
      <c r="A185" t="n">
        <v>184</v>
      </c>
      <c r="B185" t="inlineStr">
        <is>
          <t>11톤</t>
        </is>
      </c>
      <c r="C185" t="n">
        <v>16</v>
      </c>
      <c r="D185" t="inlineStr">
        <is>
          <t>8톤</t>
        </is>
      </c>
      <c r="E185" t="n">
        <v>14</v>
      </c>
      <c r="F185" t="inlineStr">
        <is>
          <t>8톤</t>
        </is>
      </c>
      <c r="G185" t="n">
        <v>14</v>
      </c>
      <c r="H185" t="inlineStr">
        <is>
          <t>8톤</t>
        </is>
      </c>
      <c r="I185" t="n">
        <v>14</v>
      </c>
      <c r="J185" t="inlineStr">
        <is>
          <t>8톤</t>
        </is>
      </c>
      <c r="K185" t="n">
        <v>14</v>
      </c>
      <c r="L185" t="inlineStr">
        <is>
          <t>8톤</t>
        </is>
      </c>
      <c r="M185" t="n">
        <v>14</v>
      </c>
      <c r="N185" t="inlineStr">
        <is>
          <t>8톤</t>
        </is>
      </c>
      <c r="O185" t="n">
        <v>14</v>
      </c>
      <c r="P185" t="inlineStr">
        <is>
          <t>8톤</t>
        </is>
      </c>
      <c r="Q185" t="n">
        <v>14</v>
      </c>
      <c r="R185" t="inlineStr">
        <is>
          <t>8톤</t>
        </is>
      </c>
      <c r="S185" t="n">
        <v>14</v>
      </c>
      <c r="T185" t="inlineStr">
        <is>
          <t>8톤</t>
        </is>
      </c>
      <c r="U185" t="n">
        <v>14</v>
      </c>
      <c r="V185" t="inlineStr">
        <is>
          <t>8톤</t>
        </is>
      </c>
      <c r="W185" t="n">
        <v>14</v>
      </c>
      <c r="X185" t="inlineStr">
        <is>
          <t>8톤</t>
        </is>
      </c>
      <c r="Y185" t="n">
        <v>14</v>
      </c>
      <c r="Z185" t="inlineStr">
        <is>
          <t>8톤</t>
        </is>
      </c>
      <c r="AA185" t="n">
        <v>14</v>
      </c>
    </row>
    <row r="186">
      <c r="A186" t="n">
        <v>185</v>
      </c>
      <c r="B186" t="inlineStr">
        <is>
          <t>11톤</t>
        </is>
      </c>
      <c r="C186" t="n">
        <v>16</v>
      </c>
      <c r="D186" t="inlineStr">
        <is>
          <t>11톤</t>
        </is>
      </c>
      <c r="E186" t="n">
        <v>15</v>
      </c>
      <c r="F186" t="inlineStr">
        <is>
          <t>8톤</t>
        </is>
      </c>
      <c r="G186" t="n">
        <v>14</v>
      </c>
      <c r="H186" t="inlineStr">
        <is>
          <t>8톤</t>
        </is>
      </c>
      <c r="I186" t="n">
        <v>14</v>
      </c>
      <c r="J186" t="inlineStr">
        <is>
          <t>8톤</t>
        </is>
      </c>
      <c r="K186" t="n">
        <v>14</v>
      </c>
      <c r="L186" t="inlineStr">
        <is>
          <t>8톤</t>
        </is>
      </c>
      <c r="M186" t="n">
        <v>14</v>
      </c>
      <c r="N186" t="inlineStr">
        <is>
          <t>8톤</t>
        </is>
      </c>
      <c r="O186" t="n">
        <v>14</v>
      </c>
      <c r="P186" t="inlineStr">
        <is>
          <t>8톤</t>
        </is>
      </c>
      <c r="Q186" t="n">
        <v>14</v>
      </c>
      <c r="R186" t="inlineStr">
        <is>
          <t>8톤</t>
        </is>
      </c>
      <c r="S186" t="n">
        <v>14</v>
      </c>
      <c r="T186" t="inlineStr">
        <is>
          <t>8톤</t>
        </is>
      </c>
      <c r="U186" t="n">
        <v>14</v>
      </c>
      <c r="V186" t="inlineStr">
        <is>
          <t>8톤</t>
        </is>
      </c>
      <c r="W186" t="n">
        <v>14</v>
      </c>
      <c r="X186" t="inlineStr">
        <is>
          <t>8톤</t>
        </is>
      </c>
      <c r="Y186" t="n">
        <v>14</v>
      </c>
      <c r="Z186" t="inlineStr">
        <is>
          <t>8톤</t>
        </is>
      </c>
      <c r="AA186" t="n">
        <v>14</v>
      </c>
    </row>
    <row r="187">
      <c r="A187" t="n">
        <v>186</v>
      </c>
      <c r="B187" t="inlineStr">
        <is>
          <t>11톤</t>
        </is>
      </c>
      <c r="C187" t="n">
        <v>16</v>
      </c>
      <c r="D187" t="inlineStr">
        <is>
          <t>11톤</t>
        </is>
      </c>
      <c r="E187" t="n">
        <v>16</v>
      </c>
      <c r="F187" t="inlineStr">
        <is>
          <t>8톤</t>
        </is>
      </c>
      <c r="G187" t="n">
        <v>14</v>
      </c>
      <c r="H187" t="inlineStr">
        <is>
          <t>8톤</t>
        </is>
      </c>
      <c r="I187" t="n">
        <v>14</v>
      </c>
      <c r="J187" t="inlineStr">
        <is>
          <t>8톤</t>
        </is>
      </c>
      <c r="K187" t="n">
        <v>14</v>
      </c>
      <c r="L187" t="inlineStr">
        <is>
          <t>8톤</t>
        </is>
      </c>
      <c r="M187" t="n">
        <v>14</v>
      </c>
      <c r="N187" t="inlineStr">
        <is>
          <t>8톤</t>
        </is>
      </c>
      <c r="O187" t="n">
        <v>14</v>
      </c>
      <c r="P187" t="inlineStr">
        <is>
          <t>8톤</t>
        </is>
      </c>
      <c r="Q187" t="n">
        <v>14</v>
      </c>
      <c r="R187" t="inlineStr">
        <is>
          <t>8톤</t>
        </is>
      </c>
      <c r="S187" t="n">
        <v>14</v>
      </c>
      <c r="T187" t="inlineStr">
        <is>
          <t>8톤</t>
        </is>
      </c>
      <c r="U187" t="n">
        <v>14</v>
      </c>
      <c r="V187" t="inlineStr">
        <is>
          <t>8톤</t>
        </is>
      </c>
      <c r="W187" t="n">
        <v>14</v>
      </c>
      <c r="X187" t="inlineStr">
        <is>
          <t>8톤</t>
        </is>
      </c>
      <c r="Y187" t="n">
        <v>14</v>
      </c>
      <c r="Z187" t="inlineStr">
        <is>
          <t>8톤</t>
        </is>
      </c>
      <c r="AA187" t="n">
        <v>14</v>
      </c>
    </row>
    <row r="188">
      <c r="A188" t="n">
        <v>187</v>
      </c>
      <c r="B188" t="inlineStr">
        <is>
          <t>11톤</t>
        </is>
      </c>
      <c r="C188" t="n">
        <v>16</v>
      </c>
      <c r="D188" t="inlineStr">
        <is>
          <t>11톤</t>
        </is>
      </c>
      <c r="E188" t="n">
        <v>16</v>
      </c>
      <c r="F188" t="inlineStr">
        <is>
          <t>11톤</t>
        </is>
      </c>
      <c r="G188" t="n">
        <v>15</v>
      </c>
      <c r="H188" t="inlineStr">
        <is>
          <t>8톤</t>
        </is>
      </c>
      <c r="I188" t="n">
        <v>14</v>
      </c>
      <c r="J188" t="inlineStr">
        <is>
          <t>8톤</t>
        </is>
      </c>
      <c r="K188" t="n">
        <v>14</v>
      </c>
      <c r="L188" t="inlineStr">
        <is>
          <t>8톤</t>
        </is>
      </c>
      <c r="M188" t="n">
        <v>14</v>
      </c>
      <c r="N188" t="inlineStr">
        <is>
          <t>8톤</t>
        </is>
      </c>
      <c r="O188" t="n">
        <v>14</v>
      </c>
      <c r="P188" t="inlineStr">
        <is>
          <t>8톤</t>
        </is>
      </c>
      <c r="Q188" t="n">
        <v>14</v>
      </c>
      <c r="R188" t="inlineStr">
        <is>
          <t>8톤</t>
        </is>
      </c>
      <c r="S188" t="n">
        <v>14</v>
      </c>
      <c r="T188" t="inlineStr">
        <is>
          <t>8톤</t>
        </is>
      </c>
      <c r="U188" t="n">
        <v>14</v>
      </c>
      <c r="V188" t="inlineStr">
        <is>
          <t>8톤</t>
        </is>
      </c>
      <c r="W188" t="n">
        <v>14</v>
      </c>
      <c r="X188" t="inlineStr">
        <is>
          <t>8톤</t>
        </is>
      </c>
      <c r="Y188" t="n">
        <v>14</v>
      </c>
      <c r="Z188" t="inlineStr">
        <is>
          <t>8톤</t>
        </is>
      </c>
      <c r="AA188" t="n">
        <v>14</v>
      </c>
    </row>
    <row r="189">
      <c r="A189" t="n">
        <v>188</v>
      </c>
      <c r="B189" t="inlineStr">
        <is>
          <t>11톤</t>
        </is>
      </c>
      <c r="C189" t="n">
        <v>16</v>
      </c>
      <c r="D189" t="inlineStr">
        <is>
          <t>11톤</t>
        </is>
      </c>
      <c r="E189" t="n">
        <v>16</v>
      </c>
      <c r="F189" t="inlineStr">
        <is>
          <t>11톤</t>
        </is>
      </c>
      <c r="G189" t="n">
        <v>16</v>
      </c>
      <c r="H189" t="inlineStr">
        <is>
          <t>8톤</t>
        </is>
      </c>
      <c r="I189" t="n">
        <v>14</v>
      </c>
      <c r="J189" t="inlineStr">
        <is>
          <t>8톤</t>
        </is>
      </c>
      <c r="K189" t="n">
        <v>14</v>
      </c>
      <c r="L189" t="inlineStr">
        <is>
          <t>8톤</t>
        </is>
      </c>
      <c r="M189" t="n">
        <v>14</v>
      </c>
      <c r="N189" t="inlineStr">
        <is>
          <t>8톤</t>
        </is>
      </c>
      <c r="O189" t="n">
        <v>14</v>
      </c>
      <c r="P189" t="inlineStr">
        <is>
          <t>8톤</t>
        </is>
      </c>
      <c r="Q189" t="n">
        <v>14</v>
      </c>
      <c r="R189" t="inlineStr">
        <is>
          <t>8톤</t>
        </is>
      </c>
      <c r="S189" t="n">
        <v>14</v>
      </c>
      <c r="T189" t="inlineStr">
        <is>
          <t>8톤</t>
        </is>
      </c>
      <c r="U189" t="n">
        <v>14</v>
      </c>
      <c r="V189" t="inlineStr">
        <is>
          <t>8톤</t>
        </is>
      </c>
      <c r="W189" t="n">
        <v>14</v>
      </c>
      <c r="X189" t="inlineStr">
        <is>
          <t>8톤</t>
        </is>
      </c>
      <c r="Y189" t="n">
        <v>14</v>
      </c>
      <c r="Z189" t="inlineStr">
        <is>
          <t>8톤</t>
        </is>
      </c>
      <c r="AA189" t="n">
        <v>14</v>
      </c>
    </row>
    <row r="190">
      <c r="A190" t="n">
        <v>189</v>
      </c>
      <c r="B190" t="inlineStr">
        <is>
          <t>11톤</t>
        </is>
      </c>
      <c r="C190" t="n">
        <v>16</v>
      </c>
      <c r="D190" t="inlineStr">
        <is>
          <t>11톤</t>
        </is>
      </c>
      <c r="E190" t="n">
        <v>16</v>
      </c>
      <c r="F190" t="inlineStr">
        <is>
          <t>11톤</t>
        </is>
      </c>
      <c r="G190" t="n">
        <v>16</v>
      </c>
      <c r="H190" t="inlineStr">
        <is>
          <t>11톤</t>
        </is>
      </c>
      <c r="I190" t="n">
        <v>15</v>
      </c>
      <c r="J190" t="inlineStr">
        <is>
          <t>8톤</t>
        </is>
      </c>
      <c r="K190" t="n">
        <v>14</v>
      </c>
      <c r="L190" t="inlineStr">
        <is>
          <t>8톤</t>
        </is>
      </c>
      <c r="M190" t="n">
        <v>14</v>
      </c>
      <c r="N190" t="inlineStr">
        <is>
          <t>8톤</t>
        </is>
      </c>
      <c r="O190" t="n">
        <v>14</v>
      </c>
      <c r="P190" t="inlineStr">
        <is>
          <t>8톤</t>
        </is>
      </c>
      <c r="Q190" t="n">
        <v>14</v>
      </c>
      <c r="R190" t="inlineStr">
        <is>
          <t>8톤</t>
        </is>
      </c>
      <c r="S190" t="n">
        <v>14</v>
      </c>
      <c r="T190" t="inlineStr">
        <is>
          <t>8톤</t>
        </is>
      </c>
      <c r="U190" t="n">
        <v>14</v>
      </c>
      <c r="V190" t="inlineStr">
        <is>
          <t>8톤</t>
        </is>
      </c>
      <c r="W190" t="n">
        <v>14</v>
      </c>
      <c r="X190" t="inlineStr">
        <is>
          <t>8톤</t>
        </is>
      </c>
      <c r="Y190" t="n">
        <v>14</v>
      </c>
      <c r="Z190" t="inlineStr">
        <is>
          <t>8톤</t>
        </is>
      </c>
      <c r="AA190" t="n">
        <v>14</v>
      </c>
    </row>
    <row r="191">
      <c r="A191" t="n">
        <v>190</v>
      </c>
      <c r="B191" t="inlineStr">
        <is>
          <t>11톤</t>
        </is>
      </c>
      <c r="C191" t="n">
        <v>16</v>
      </c>
      <c r="D191" t="inlineStr">
        <is>
          <t>11톤</t>
        </is>
      </c>
      <c r="E191" t="n">
        <v>16</v>
      </c>
      <c r="F191" t="inlineStr">
        <is>
          <t>11톤</t>
        </is>
      </c>
      <c r="G191" t="n">
        <v>16</v>
      </c>
      <c r="H191" t="inlineStr">
        <is>
          <t>11톤</t>
        </is>
      </c>
      <c r="I191" t="n">
        <v>16</v>
      </c>
      <c r="J191" t="inlineStr">
        <is>
          <t>8톤</t>
        </is>
      </c>
      <c r="K191" t="n">
        <v>14</v>
      </c>
      <c r="L191" t="inlineStr">
        <is>
          <t>8톤</t>
        </is>
      </c>
      <c r="M191" t="n">
        <v>14</v>
      </c>
      <c r="N191" t="inlineStr">
        <is>
          <t>8톤</t>
        </is>
      </c>
      <c r="O191" t="n">
        <v>14</v>
      </c>
      <c r="P191" t="inlineStr">
        <is>
          <t>8톤</t>
        </is>
      </c>
      <c r="Q191" t="n">
        <v>14</v>
      </c>
      <c r="R191" t="inlineStr">
        <is>
          <t>8톤</t>
        </is>
      </c>
      <c r="S191" t="n">
        <v>14</v>
      </c>
      <c r="T191" t="inlineStr">
        <is>
          <t>8톤</t>
        </is>
      </c>
      <c r="U191" t="n">
        <v>14</v>
      </c>
      <c r="V191" t="inlineStr">
        <is>
          <t>8톤</t>
        </is>
      </c>
      <c r="W191" t="n">
        <v>14</v>
      </c>
      <c r="X191" t="inlineStr">
        <is>
          <t>8톤</t>
        </is>
      </c>
      <c r="Y191" t="n">
        <v>14</v>
      </c>
      <c r="Z191" t="inlineStr">
        <is>
          <t>8톤</t>
        </is>
      </c>
      <c r="AA191" t="n">
        <v>14</v>
      </c>
    </row>
    <row r="192">
      <c r="A192" t="n">
        <v>191</v>
      </c>
      <c r="B192" t="inlineStr">
        <is>
          <t>8톤</t>
        </is>
      </c>
      <c r="C192" t="n">
        <v>14</v>
      </c>
      <c r="D192" t="inlineStr">
        <is>
          <t>8톤</t>
        </is>
      </c>
      <c r="E192" t="n">
        <v>14</v>
      </c>
      <c r="F192" t="inlineStr">
        <is>
          <t>8톤</t>
        </is>
      </c>
      <c r="G192" t="n">
        <v>14</v>
      </c>
      <c r="H192" t="inlineStr">
        <is>
          <t>8톤</t>
        </is>
      </c>
      <c r="I192" t="n">
        <v>14</v>
      </c>
      <c r="J192" t="inlineStr">
        <is>
          <t>8톤</t>
        </is>
      </c>
      <c r="K192" t="n">
        <v>14</v>
      </c>
      <c r="L192" t="inlineStr">
        <is>
          <t>8톤</t>
        </is>
      </c>
      <c r="M192" t="n">
        <v>14</v>
      </c>
      <c r="N192" t="inlineStr">
        <is>
          <t>8톤</t>
        </is>
      </c>
      <c r="O192" t="n">
        <v>14</v>
      </c>
      <c r="P192" t="inlineStr">
        <is>
          <t>8톤</t>
        </is>
      </c>
      <c r="Q192" t="n">
        <v>14</v>
      </c>
      <c r="R192" t="inlineStr">
        <is>
          <t>8톤</t>
        </is>
      </c>
      <c r="S192" t="n">
        <v>14</v>
      </c>
      <c r="T192" t="inlineStr">
        <is>
          <t>8톤</t>
        </is>
      </c>
      <c r="U192" t="n">
        <v>14</v>
      </c>
      <c r="V192" t="inlineStr">
        <is>
          <t>8톤</t>
        </is>
      </c>
      <c r="W192" t="n">
        <v>14</v>
      </c>
      <c r="X192" t="inlineStr">
        <is>
          <t>8톤</t>
        </is>
      </c>
      <c r="Y192" t="n">
        <v>13</v>
      </c>
      <c r="Z192" t="inlineStr">
        <is>
          <t>5톤</t>
        </is>
      </c>
      <c r="AA192" t="n">
        <v>12</v>
      </c>
      <c r="AB192" t="inlineStr">
        <is>
          <t>5톤</t>
        </is>
      </c>
      <c r="AC192" t="n">
        <v>12</v>
      </c>
    </row>
    <row r="193">
      <c r="A193" t="n">
        <v>192</v>
      </c>
      <c r="B193" t="inlineStr">
        <is>
          <t>8톤</t>
        </is>
      </c>
      <c r="C193" t="n">
        <v>14</v>
      </c>
      <c r="D193" t="inlineStr">
        <is>
          <t>8톤</t>
        </is>
      </c>
      <c r="E193" t="n">
        <v>14</v>
      </c>
      <c r="F193" t="inlineStr">
        <is>
          <t>8톤</t>
        </is>
      </c>
      <c r="G193" t="n">
        <v>14</v>
      </c>
      <c r="H193" t="inlineStr">
        <is>
          <t>8톤</t>
        </is>
      </c>
      <c r="I193" t="n">
        <v>14</v>
      </c>
      <c r="J193" t="inlineStr">
        <is>
          <t>8톤</t>
        </is>
      </c>
      <c r="K193" t="n">
        <v>14</v>
      </c>
      <c r="L193" t="inlineStr">
        <is>
          <t>8톤</t>
        </is>
      </c>
      <c r="M193" t="n">
        <v>14</v>
      </c>
      <c r="N193" t="inlineStr">
        <is>
          <t>8톤</t>
        </is>
      </c>
      <c r="O193" t="n">
        <v>14</v>
      </c>
      <c r="P193" t="inlineStr">
        <is>
          <t>8톤</t>
        </is>
      </c>
      <c r="Q193" t="n">
        <v>14</v>
      </c>
      <c r="R193" t="inlineStr">
        <is>
          <t>8톤</t>
        </is>
      </c>
      <c r="S193" t="n">
        <v>14</v>
      </c>
      <c r="T193" t="inlineStr">
        <is>
          <t>8톤</t>
        </is>
      </c>
      <c r="U193" t="n">
        <v>14</v>
      </c>
      <c r="V193" t="inlineStr">
        <is>
          <t>8톤</t>
        </is>
      </c>
      <c r="W193" t="n">
        <v>14</v>
      </c>
      <c r="X193" t="inlineStr">
        <is>
          <t>8톤</t>
        </is>
      </c>
      <c r="Y193" t="n">
        <v>14</v>
      </c>
      <c r="Z193" t="inlineStr">
        <is>
          <t>5톤</t>
        </is>
      </c>
      <c r="AA193" t="n">
        <v>12</v>
      </c>
      <c r="AB193" t="inlineStr">
        <is>
          <t>5톤</t>
        </is>
      </c>
      <c r="AC193" t="n">
        <v>12</v>
      </c>
    </row>
    <row r="194">
      <c r="A194" t="n">
        <v>193</v>
      </c>
      <c r="B194" t="inlineStr">
        <is>
          <t>8톤</t>
        </is>
      </c>
      <c r="C194" t="n">
        <v>14</v>
      </c>
      <c r="D194" t="inlineStr">
        <is>
          <t>8톤</t>
        </is>
      </c>
      <c r="E194" t="n">
        <v>14</v>
      </c>
      <c r="F194" t="inlineStr">
        <is>
          <t>8톤</t>
        </is>
      </c>
      <c r="G194" t="n">
        <v>14</v>
      </c>
      <c r="H194" t="inlineStr">
        <is>
          <t>8톤</t>
        </is>
      </c>
      <c r="I194" t="n">
        <v>14</v>
      </c>
      <c r="J194" t="inlineStr">
        <is>
          <t>8톤</t>
        </is>
      </c>
      <c r="K194" t="n">
        <v>14</v>
      </c>
      <c r="L194" t="inlineStr">
        <is>
          <t>8톤</t>
        </is>
      </c>
      <c r="M194" t="n">
        <v>14</v>
      </c>
      <c r="N194" t="inlineStr">
        <is>
          <t>8톤</t>
        </is>
      </c>
      <c r="O194" t="n">
        <v>14</v>
      </c>
      <c r="P194" t="inlineStr">
        <is>
          <t>8톤</t>
        </is>
      </c>
      <c r="Q194" t="n">
        <v>14</v>
      </c>
      <c r="R194" t="inlineStr">
        <is>
          <t>8톤</t>
        </is>
      </c>
      <c r="S194" t="n">
        <v>14</v>
      </c>
      <c r="T194" t="inlineStr">
        <is>
          <t>8톤</t>
        </is>
      </c>
      <c r="U194" t="n">
        <v>14</v>
      </c>
      <c r="V194" t="inlineStr">
        <is>
          <t>8톤</t>
        </is>
      </c>
      <c r="W194" t="n">
        <v>14</v>
      </c>
      <c r="X194" t="inlineStr">
        <is>
          <t>8톤</t>
        </is>
      </c>
      <c r="Y194" t="n">
        <v>14</v>
      </c>
      <c r="Z194" t="inlineStr">
        <is>
          <t>8톤</t>
        </is>
      </c>
      <c r="AA194" t="n">
        <v>13</v>
      </c>
      <c r="AB194" t="inlineStr">
        <is>
          <t>5톤</t>
        </is>
      </c>
      <c r="AC194" t="n">
        <v>12</v>
      </c>
    </row>
    <row r="195">
      <c r="A195" t="n">
        <v>194</v>
      </c>
      <c r="B195" t="inlineStr">
        <is>
          <t>8톤</t>
        </is>
      </c>
      <c r="C195" t="n">
        <v>14</v>
      </c>
      <c r="D195" t="inlineStr">
        <is>
          <t>8톤</t>
        </is>
      </c>
      <c r="E195" t="n">
        <v>14</v>
      </c>
      <c r="F195" t="inlineStr">
        <is>
          <t>8톤</t>
        </is>
      </c>
      <c r="G195" t="n">
        <v>14</v>
      </c>
      <c r="H195" t="inlineStr">
        <is>
          <t>8톤</t>
        </is>
      </c>
      <c r="I195" t="n">
        <v>14</v>
      </c>
      <c r="J195" t="inlineStr">
        <is>
          <t>8톤</t>
        </is>
      </c>
      <c r="K195" t="n">
        <v>14</v>
      </c>
      <c r="L195" t="inlineStr">
        <is>
          <t>8톤</t>
        </is>
      </c>
      <c r="M195" t="n">
        <v>14</v>
      </c>
      <c r="N195" t="inlineStr">
        <is>
          <t>8톤</t>
        </is>
      </c>
      <c r="O195" t="n">
        <v>14</v>
      </c>
      <c r="P195" t="inlineStr">
        <is>
          <t>8톤</t>
        </is>
      </c>
      <c r="Q195" t="n">
        <v>14</v>
      </c>
      <c r="R195" t="inlineStr">
        <is>
          <t>8톤</t>
        </is>
      </c>
      <c r="S195" t="n">
        <v>14</v>
      </c>
      <c r="T195" t="inlineStr">
        <is>
          <t>8톤</t>
        </is>
      </c>
      <c r="U195" t="n">
        <v>14</v>
      </c>
      <c r="V195" t="inlineStr">
        <is>
          <t>8톤</t>
        </is>
      </c>
      <c r="W195" t="n">
        <v>14</v>
      </c>
      <c r="X195" t="inlineStr">
        <is>
          <t>8톤</t>
        </is>
      </c>
      <c r="Y195" t="n">
        <v>14</v>
      </c>
      <c r="Z195" t="inlineStr">
        <is>
          <t>8톤</t>
        </is>
      </c>
      <c r="AA195" t="n">
        <v>14</v>
      </c>
      <c r="AB195" t="inlineStr">
        <is>
          <t>5톤</t>
        </is>
      </c>
      <c r="AC195" t="n">
        <v>12</v>
      </c>
    </row>
    <row r="196">
      <c r="A196" t="n">
        <v>195</v>
      </c>
      <c r="B196" t="inlineStr">
        <is>
          <t>8톤</t>
        </is>
      </c>
      <c r="C196" t="n">
        <v>14</v>
      </c>
      <c r="D196" t="inlineStr">
        <is>
          <t>8톤</t>
        </is>
      </c>
      <c r="E196" t="n">
        <v>14</v>
      </c>
      <c r="F196" t="inlineStr">
        <is>
          <t>8톤</t>
        </is>
      </c>
      <c r="G196" t="n">
        <v>14</v>
      </c>
      <c r="H196" t="inlineStr">
        <is>
          <t>8톤</t>
        </is>
      </c>
      <c r="I196" t="n">
        <v>14</v>
      </c>
      <c r="J196" t="inlineStr">
        <is>
          <t>8톤</t>
        </is>
      </c>
      <c r="K196" t="n">
        <v>14</v>
      </c>
      <c r="L196" t="inlineStr">
        <is>
          <t>8톤</t>
        </is>
      </c>
      <c r="M196" t="n">
        <v>14</v>
      </c>
      <c r="N196" t="inlineStr">
        <is>
          <t>8톤</t>
        </is>
      </c>
      <c r="O196" t="n">
        <v>14</v>
      </c>
      <c r="P196" t="inlineStr">
        <is>
          <t>8톤</t>
        </is>
      </c>
      <c r="Q196" t="n">
        <v>14</v>
      </c>
      <c r="R196" t="inlineStr">
        <is>
          <t>8톤</t>
        </is>
      </c>
      <c r="S196" t="n">
        <v>14</v>
      </c>
      <c r="T196" t="inlineStr">
        <is>
          <t>8톤</t>
        </is>
      </c>
      <c r="U196" t="n">
        <v>14</v>
      </c>
      <c r="V196" t="inlineStr">
        <is>
          <t>8톤</t>
        </is>
      </c>
      <c r="W196" t="n">
        <v>14</v>
      </c>
      <c r="X196" t="inlineStr">
        <is>
          <t>8톤</t>
        </is>
      </c>
      <c r="Y196" t="n">
        <v>14</v>
      </c>
      <c r="Z196" t="inlineStr">
        <is>
          <t>8톤</t>
        </is>
      </c>
      <c r="AA196" t="n">
        <v>14</v>
      </c>
      <c r="AB196" t="inlineStr">
        <is>
          <t>8톤</t>
        </is>
      </c>
      <c r="AC196" t="n">
        <v>13</v>
      </c>
    </row>
    <row r="197">
      <c r="A197" t="n">
        <v>196</v>
      </c>
      <c r="B197" t="inlineStr">
        <is>
          <t>8톤</t>
        </is>
      </c>
      <c r="C197" t="n">
        <v>14</v>
      </c>
      <c r="D197" t="inlineStr">
        <is>
          <t>8톤</t>
        </is>
      </c>
      <c r="E197" t="n">
        <v>14</v>
      </c>
      <c r="F197" t="inlineStr">
        <is>
          <t>8톤</t>
        </is>
      </c>
      <c r="G197" t="n">
        <v>14</v>
      </c>
      <c r="H197" t="inlineStr">
        <is>
          <t>8톤</t>
        </is>
      </c>
      <c r="I197" t="n">
        <v>14</v>
      </c>
      <c r="J197" t="inlineStr">
        <is>
          <t>8톤</t>
        </is>
      </c>
      <c r="K197" t="n">
        <v>14</v>
      </c>
      <c r="L197" t="inlineStr">
        <is>
          <t>8톤</t>
        </is>
      </c>
      <c r="M197" t="n">
        <v>14</v>
      </c>
      <c r="N197" t="inlineStr">
        <is>
          <t>8톤</t>
        </is>
      </c>
      <c r="O197" t="n">
        <v>14</v>
      </c>
      <c r="P197" t="inlineStr">
        <is>
          <t>8톤</t>
        </is>
      </c>
      <c r="Q197" t="n">
        <v>14</v>
      </c>
      <c r="R197" t="inlineStr">
        <is>
          <t>8톤</t>
        </is>
      </c>
      <c r="S197" t="n">
        <v>14</v>
      </c>
      <c r="T197" t="inlineStr">
        <is>
          <t>8톤</t>
        </is>
      </c>
      <c r="U197" t="n">
        <v>14</v>
      </c>
      <c r="V197" t="inlineStr">
        <is>
          <t>8톤</t>
        </is>
      </c>
      <c r="W197" t="n">
        <v>14</v>
      </c>
      <c r="X197" t="inlineStr">
        <is>
          <t>8톤</t>
        </is>
      </c>
      <c r="Y197" t="n">
        <v>14</v>
      </c>
      <c r="Z197" t="inlineStr">
        <is>
          <t>8톤</t>
        </is>
      </c>
      <c r="AA197" t="n">
        <v>14</v>
      </c>
      <c r="AB197" t="inlineStr">
        <is>
          <t>8톤</t>
        </is>
      </c>
      <c r="AC197" t="n">
        <v>14</v>
      </c>
    </row>
    <row r="198">
      <c r="A198" t="n">
        <v>197</v>
      </c>
      <c r="B198" t="inlineStr">
        <is>
          <t>11톤</t>
        </is>
      </c>
      <c r="C198" t="n">
        <v>15</v>
      </c>
      <c r="D198" t="inlineStr">
        <is>
          <t>8톤</t>
        </is>
      </c>
      <c r="E198" t="n">
        <v>14</v>
      </c>
      <c r="F198" t="inlineStr">
        <is>
          <t>8톤</t>
        </is>
      </c>
      <c r="G198" t="n">
        <v>14</v>
      </c>
      <c r="H198" t="inlineStr">
        <is>
          <t>8톤</t>
        </is>
      </c>
      <c r="I198" t="n">
        <v>14</v>
      </c>
      <c r="J198" t="inlineStr">
        <is>
          <t>8톤</t>
        </is>
      </c>
      <c r="K198" t="n">
        <v>14</v>
      </c>
      <c r="L198" t="inlineStr">
        <is>
          <t>8톤</t>
        </is>
      </c>
      <c r="M198" t="n">
        <v>14</v>
      </c>
      <c r="N198" t="inlineStr">
        <is>
          <t>8톤</t>
        </is>
      </c>
      <c r="O198" t="n">
        <v>14</v>
      </c>
      <c r="P198" t="inlineStr">
        <is>
          <t>8톤</t>
        </is>
      </c>
      <c r="Q198" t="n">
        <v>14</v>
      </c>
      <c r="R198" t="inlineStr">
        <is>
          <t>8톤</t>
        </is>
      </c>
      <c r="S198" t="n">
        <v>14</v>
      </c>
      <c r="T198" t="inlineStr">
        <is>
          <t>8톤</t>
        </is>
      </c>
      <c r="U198" t="n">
        <v>14</v>
      </c>
      <c r="V198" t="inlineStr">
        <is>
          <t>8톤</t>
        </is>
      </c>
      <c r="W198" t="n">
        <v>14</v>
      </c>
      <c r="X198" t="inlineStr">
        <is>
          <t>8톤</t>
        </is>
      </c>
      <c r="Y198" t="n">
        <v>14</v>
      </c>
      <c r="Z198" t="inlineStr">
        <is>
          <t>8톤</t>
        </is>
      </c>
      <c r="AA198" t="n">
        <v>14</v>
      </c>
      <c r="AB198" t="inlineStr">
        <is>
          <t>8톤</t>
        </is>
      </c>
      <c r="AC198" t="n">
        <v>14</v>
      </c>
    </row>
    <row r="199">
      <c r="A199" t="n">
        <v>198</v>
      </c>
      <c r="B199" t="inlineStr">
        <is>
          <t>11톤</t>
        </is>
      </c>
      <c r="C199" t="n">
        <v>16</v>
      </c>
      <c r="D199" t="inlineStr">
        <is>
          <t>8톤</t>
        </is>
      </c>
      <c r="E199" t="n">
        <v>14</v>
      </c>
      <c r="F199" t="inlineStr">
        <is>
          <t>8톤</t>
        </is>
      </c>
      <c r="G199" t="n">
        <v>14</v>
      </c>
      <c r="H199" t="inlineStr">
        <is>
          <t>8톤</t>
        </is>
      </c>
      <c r="I199" t="n">
        <v>14</v>
      </c>
      <c r="J199" t="inlineStr">
        <is>
          <t>8톤</t>
        </is>
      </c>
      <c r="K199" t="n">
        <v>14</v>
      </c>
      <c r="L199" t="inlineStr">
        <is>
          <t>8톤</t>
        </is>
      </c>
      <c r="M199" t="n">
        <v>14</v>
      </c>
      <c r="N199" t="inlineStr">
        <is>
          <t>8톤</t>
        </is>
      </c>
      <c r="O199" t="n">
        <v>14</v>
      </c>
      <c r="P199" t="inlineStr">
        <is>
          <t>8톤</t>
        </is>
      </c>
      <c r="Q199" t="n">
        <v>14</v>
      </c>
      <c r="R199" t="inlineStr">
        <is>
          <t>8톤</t>
        </is>
      </c>
      <c r="S199" t="n">
        <v>14</v>
      </c>
      <c r="T199" t="inlineStr">
        <is>
          <t>8톤</t>
        </is>
      </c>
      <c r="U199" t="n">
        <v>14</v>
      </c>
      <c r="V199" t="inlineStr">
        <is>
          <t>8톤</t>
        </is>
      </c>
      <c r="W199" t="n">
        <v>14</v>
      </c>
      <c r="X199" t="inlineStr">
        <is>
          <t>8톤</t>
        </is>
      </c>
      <c r="Y199" t="n">
        <v>14</v>
      </c>
      <c r="Z199" t="inlineStr">
        <is>
          <t>8톤</t>
        </is>
      </c>
      <c r="AA199" t="n">
        <v>14</v>
      </c>
      <c r="AB199" t="inlineStr">
        <is>
          <t>8톤</t>
        </is>
      </c>
      <c r="AC199" t="n">
        <v>14</v>
      </c>
    </row>
    <row r="200">
      <c r="A200" t="n">
        <v>199</v>
      </c>
      <c r="B200" t="inlineStr">
        <is>
          <t>11톤</t>
        </is>
      </c>
      <c r="C200" t="n">
        <v>16</v>
      </c>
      <c r="D200" t="inlineStr">
        <is>
          <t>11톤</t>
        </is>
      </c>
      <c r="E200" t="n">
        <v>15</v>
      </c>
      <c r="F200" t="inlineStr">
        <is>
          <t>8톤</t>
        </is>
      </c>
      <c r="G200" t="n">
        <v>14</v>
      </c>
      <c r="H200" t="inlineStr">
        <is>
          <t>8톤</t>
        </is>
      </c>
      <c r="I200" t="n">
        <v>14</v>
      </c>
      <c r="J200" t="inlineStr">
        <is>
          <t>8톤</t>
        </is>
      </c>
      <c r="K200" t="n">
        <v>14</v>
      </c>
      <c r="L200" t="inlineStr">
        <is>
          <t>8톤</t>
        </is>
      </c>
      <c r="M200" t="n">
        <v>14</v>
      </c>
      <c r="N200" t="inlineStr">
        <is>
          <t>8톤</t>
        </is>
      </c>
      <c r="O200" t="n">
        <v>14</v>
      </c>
      <c r="P200" t="inlineStr">
        <is>
          <t>8톤</t>
        </is>
      </c>
      <c r="Q200" t="n">
        <v>14</v>
      </c>
      <c r="R200" t="inlineStr">
        <is>
          <t>8톤</t>
        </is>
      </c>
      <c r="S200" t="n">
        <v>14</v>
      </c>
      <c r="T200" t="inlineStr">
        <is>
          <t>8톤</t>
        </is>
      </c>
      <c r="U200" t="n">
        <v>14</v>
      </c>
      <c r="V200" t="inlineStr">
        <is>
          <t>8톤</t>
        </is>
      </c>
      <c r="W200" t="n">
        <v>14</v>
      </c>
      <c r="X200" t="inlineStr">
        <is>
          <t>8톤</t>
        </is>
      </c>
      <c r="Y200" t="n">
        <v>14</v>
      </c>
      <c r="Z200" t="inlineStr">
        <is>
          <t>8톤</t>
        </is>
      </c>
      <c r="AA200" t="n">
        <v>14</v>
      </c>
      <c r="AB200" t="inlineStr">
        <is>
          <t>8톤</t>
        </is>
      </c>
      <c r="AC200" t="n">
        <v>14</v>
      </c>
    </row>
    <row r="201">
      <c r="A201" t="n">
        <v>200</v>
      </c>
      <c r="B201" t="inlineStr">
        <is>
          <t>11톤</t>
        </is>
      </c>
      <c r="C201" t="n">
        <v>16</v>
      </c>
      <c r="D201" t="inlineStr">
        <is>
          <t>11톤</t>
        </is>
      </c>
      <c r="E201" t="n">
        <v>16</v>
      </c>
      <c r="F201" t="inlineStr">
        <is>
          <t>8톤</t>
        </is>
      </c>
      <c r="G201" t="n">
        <v>14</v>
      </c>
      <c r="H201" t="inlineStr">
        <is>
          <t>8톤</t>
        </is>
      </c>
      <c r="I201" t="n">
        <v>14</v>
      </c>
      <c r="J201" t="inlineStr">
        <is>
          <t>8톤</t>
        </is>
      </c>
      <c r="K201" t="n">
        <v>14</v>
      </c>
      <c r="L201" t="inlineStr">
        <is>
          <t>8톤</t>
        </is>
      </c>
      <c r="M201" t="n">
        <v>14</v>
      </c>
      <c r="N201" t="inlineStr">
        <is>
          <t>8톤</t>
        </is>
      </c>
      <c r="O201" t="n">
        <v>14</v>
      </c>
      <c r="P201" t="inlineStr">
        <is>
          <t>8톤</t>
        </is>
      </c>
      <c r="Q201" t="n">
        <v>14</v>
      </c>
      <c r="R201" t="inlineStr">
        <is>
          <t>8톤</t>
        </is>
      </c>
      <c r="S201" t="n">
        <v>14</v>
      </c>
      <c r="T201" t="inlineStr">
        <is>
          <t>8톤</t>
        </is>
      </c>
      <c r="U201" t="n">
        <v>14</v>
      </c>
      <c r="V201" t="inlineStr">
        <is>
          <t>8톤</t>
        </is>
      </c>
      <c r="W201" t="n">
        <v>14</v>
      </c>
      <c r="X201" t="inlineStr">
        <is>
          <t>8톤</t>
        </is>
      </c>
      <c r="Y201" t="n">
        <v>14</v>
      </c>
      <c r="Z201" t="inlineStr">
        <is>
          <t>8톤</t>
        </is>
      </c>
      <c r="AA201" t="n">
        <v>14</v>
      </c>
      <c r="AB201" t="inlineStr">
        <is>
          <t>8톤</t>
        </is>
      </c>
      <c r="AC2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2026-05-14T05:25:52Z</dcterms:created>
  <dcterms:modified xmlns:dcterms="http://purl.org/dc/terms/" xmlns:xsi="http://www.w3.org/2001/XMLSchema-instance" xsi:type="dcterms:W3CDTF">2026-05-14T06:07:59Z</dcterms:modified>
</cp:coreProperties>
</file>