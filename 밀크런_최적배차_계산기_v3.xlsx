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크런 배차 계산기" sheetId="1" state="visible" r:id="rId1"/>
    <sheet xmlns:r="http://schemas.openxmlformats.org/officeDocument/2006/relationships" name="계산데이터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color rgb="00FF0000"/>
      <sz val="16"/>
    </font>
    <font>
      <b val="1"/>
      <sz val="11"/>
    </font>
    <font>
      <b val="1"/>
    </font>
    <font>
      <i val="1"/>
      <color rgb="00666666"/>
      <sz val="10"/>
    </font>
    <font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5" pivotButton="0" quotePrefix="0" xfId="0"/>
    <xf numFmtId="3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  <col width="3" customWidth="1" min="8" max="8"/>
    <col width="20" customWidth="1" min="9" max="9"/>
    <col width="10" customWidth="1" min="10" max="10"/>
    <col width="12" customWidth="1" min="11" max="11"/>
    <col width="16" customWidth="1" min="12" max="12"/>
    <col width="16" customWidth="1" min="13" max="13"/>
  </cols>
  <sheetData>
    <row r="2">
      <c r="B2" s="1" t="inlineStr">
        <is>
          <t>🚛 차량 정보 (트럭 통째 대여, VAT별도)</t>
        </is>
      </c>
      <c r="I2" s="1" t="inlineStr">
        <is>
          <t>📦 총 파렛트 수 입력</t>
        </is>
      </c>
    </row>
    <row r="3">
      <c r="B3" s="2" t="inlineStr">
        <is>
          <t>차량톤수</t>
        </is>
      </c>
      <c r="C3" s="2" t="inlineStr">
        <is>
          <t>최소P</t>
        </is>
      </c>
      <c r="D3" s="2" t="inlineStr">
        <is>
          <t>최대P</t>
        </is>
      </c>
      <c r="E3" s="2" t="inlineStr">
        <is>
          <t>VAT별도</t>
        </is>
      </c>
      <c r="F3" s="2" t="inlineStr">
        <is>
          <t>VAT포함</t>
        </is>
      </c>
      <c r="G3" s="2" t="inlineStr">
        <is>
          <t>꽉채울때
파렛당단가</t>
        </is>
      </c>
      <c r="I3" s="3" t="inlineStr">
        <is>
          <t>총 파렛트 수</t>
        </is>
      </c>
      <c r="J3" s="4" t="n">
        <v>79</v>
      </c>
      <c r="K3" s="5" t="n"/>
    </row>
    <row r="4">
      <c r="B4" s="6" t="inlineStr">
        <is>
          <t>1톤</t>
        </is>
      </c>
      <c r="C4" s="6" t="n">
        <v>1</v>
      </c>
      <c r="D4" s="6" t="n">
        <v>2</v>
      </c>
      <c r="E4" s="7" t="n">
        <v>80500</v>
      </c>
      <c r="F4" s="7">
        <f>E4*1.1</f>
        <v/>
      </c>
      <c r="G4" s="7">
        <f>ROUND(F4/D4,0)</f>
        <v/>
      </c>
    </row>
    <row r="5">
      <c r="B5" s="6" t="inlineStr">
        <is>
          <t>2.5톤</t>
        </is>
      </c>
      <c r="C5" s="6" t="n">
        <v>1</v>
      </c>
      <c r="D5" s="6" t="n">
        <v>3</v>
      </c>
      <c r="E5" s="7" t="n">
        <v>94500</v>
      </c>
      <c r="F5" s="7">
        <f>E5*1.1</f>
        <v/>
      </c>
      <c r="G5" s="7">
        <f>ROUND(F5/D5,0)</f>
        <v/>
      </c>
      <c r="I5" s="1" t="inlineStr">
        <is>
          <t>📊 최적 배차 결과</t>
        </is>
      </c>
    </row>
    <row r="6">
      <c r="B6" s="6" t="inlineStr">
        <is>
          <t>3.5톤</t>
        </is>
      </c>
      <c r="C6" s="6" t="n">
        <v>1</v>
      </c>
      <c r="D6" s="6" t="n">
        <v>4</v>
      </c>
      <c r="E6" s="7" t="n">
        <v>107500</v>
      </c>
      <c r="F6" s="7">
        <f>E6*1.1</f>
        <v/>
      </c>
      <c r="G6" s="7">
        <f>ROUND(F6/D6,0)</f>
        <v/>
      </c>
      <c r="I6" s="8" t="inlineStr">
        <is>
          <t>차량톤수</t>
        </is>
      </c>
      <c r="J6" s="8" t="inlineStr">
        <is>
          <t>대수</t>
        </is>
      </c>
      <c r="K6" s="8" t="inlineStr">
        <is>
          <t>실제적재P</t>
        </is>
      </c>
      <c r="L6" s="8" t="inlineStr">
        <is>
          <t>VAT별도</t>
        </is>
      </c>
      <c r="M6" s="8" t="inlineStr">
        <is>
          <t>VAT포함</t>
        </is>
      </c>
    </row>
    <row r="7">
      <c r="B7" s="6" t="inlineStr">
        <is>
          <t>5톤</t>
        </is>
      </c>
      <c r="C7" s="6" t="n">
        <v>1</v>
      </c>
      <c r="D7" s="6" t="n">
        <v>12</v>
      </c>
      <c r="E7" s="7" t="n">
        <v>129500</v>
      </c>
      <c r="F7" s="7">
        <f>E7*1.1</f>
        <v/>
      </c>
      <c r="G7" s="7">
        <f>ROUND(F7/D7,0)</f>
        <v/>
      </c>
      <c r="I7" s="9" t="inlineStr">
        <is>
          <t>11톤</t>
        </is>
      </c>
      <c r="J7" s="9">
        <f>IF(J3&gt;0,VLOOKUP(J3,계산데이터!A:O,7,FALSE),0)</f>
        <v/>
      </c>
      <c r="K7" s="10">
        <f>IF(J3&gt;0,VLOOKUP(J3,계산데이터!A:O,13,FALSE),0)</f>
        <v/>
      </c>
      <c r="L7" s="10">
        <f>J7*168000</f>
        <v/>
      </c>
      <c r="M7" s="10">
        <f>L7*1.1</f>
        <v/>
      </c>
    </row>
    <row r="8">
      <c r="B8" s="6" t="inlineStr">
        <is>
          <t>8톤</t>
        </is>
      </c>
      <c r="C8" s="6" t="n">
        <v>1</v>
      </c>
      <c r="D8" s="6" t="n">
        <v>14</v>
      </c>
      <c r="E8" s="7" t="n">
        <v>144000</v>
      </c>
      <c r="F8" s="7">
        <f>E8*1.1</f>
        <v/>
      </c>
      <c r="G8" s="7">
        <f>ROUND(F8/D8,0)</f>
        <v/>
      </c>
      <c r="I8" s="9" t="inlineStr">
        <is>
          <t>8톤</t>
        </is>
      </c>
      <c r="J8" s="9">
        <f>IF(J3&gt;0,VLOOKUP(J3,계산데이터!A:O,6,FALSE),0)</f>
        <v/>
      </c>
      <c r="K8" s="10">
        <f>IF(J3&gt;0,VLOOKUP(J3,계산데이터!A:O,12,FALSE),0)</f>
        <v/>
      </c>
      <c r="L8" s="10">
        <f>J8*144000</f>
        <v/>
      </c>
      <c r="M8" s="10">
        <f>L8*1.1</f>
        <v/>
      </c>
    </row>
    <row r="9">
      <c r="B9" s="6" t="inlineStr">
        <is>
          <t>11톤</t>
        </is>
      </c>
      <c r="C9" s="6" t="n">
        <v>1</v>
      </c>
      <c r="D9" s="6" t="n">
        <v>16</v>
      </c>
      <c r="E9" s="7" t="n">
        <v>168000</v>
      </c>
      <c r="F9" s="7">
        <f>E9*1.1</f>
        <v/>
      </c>
      <c r="G9" s="7">
        <f>ROUND(F9/D9,0)</f>
        <v/>
      </c>
      <c r="I9" s="9" t="inlineStr">
        <is>
          <t>5톤</t>
        </is>
      </c>
      <c r="J9" s="9">
        <f>IF(J3&gt;0,VLOOKUP(J3,계산데이터!A:O,5,FALSE),0)</f>
        <v/>
      </c>
      <c r="K9" s="10">
        <f>IF(J3&gt;0,VLOOKUP(J3,계산데이터!A:O,11,FALSE),0)</f>
        <v/>
      </c>
      <c r="L9" s="10">
        <f>J9*129500</f>
        <v/>
      </c>
      <c r="M9" s="10">
        <f>L9*1.1</f>
        <v/>
      </c>
    </row>
    <row r="10">
      <c r="I10" s="9" t="inlineStr">
        <is>
          <t>3.5톤</t>
        </is>
      </c>
      <c r="J10" s="9">
        <f>IF(J3&gt;0,VLOOKUP(J3,계산데이터!A:O,4,FALSE),0)</f>
        <v/>
      </c>
      <c r="K10" s="10">
        <f>IF(J3&gt;0,VLOOKUP(J3,계산데이터!A:O,10,FALSE),0)</f>
        <v/>
      </c>
      <c r="L10" s="10">
        <f>J10*107500</f>
        <v/>
      </c>
      <c r="M10" s="10">
        <f>L10*1.1</f>
        <v/>
      </c>
    </row>
    <row r="11">
      <c r="I11" s="9" t="inlineStr">
        <is>
          <t>2.5톤</t>
        </is>
      </c>
      <c r="J11" s="9">
        <f>IF(J3&gt;0,VLOOKUP(J3,계산데이터!A:O,3,FALSE),0)</f>
        <v/>
      </c>
      <c r="K11" s="10">
        <f>IF(J3&gt;0,VLOOKUP(J3,계산데이터!A:O,9,FALSE),0)</f>
        <v/>
      </c>
      <c r="L11" s="10">
        <f>J11*94500</f>
        <v/>
      </c>
      <c r="M11" s="10">
        <f>L11*1.1</f>
        <v/>
      </c>
    </row>
    <row r="12">
      <c r="B12" s="11" t="inlineStr">
        <is>
          <t>💡 사용법: J3 셀(노란칸)에 총 파렛트 수만 입력하면 자동 계산!</t>
        </is>
      </c>
      <c r="I12" s="9" t="inlineStr">
        <is>
          <t>1톤</t>
        </is>
      </c>
      <c r="J12" s="9">
        <f>IF(J3&gt;0,VLOOKUP(J3,계산데이터!A:O,2,FALSE),0)</f>
        <v/>
      </c>
      <c r="K12" s="10">
        <f>IF(J3&gt;0,VLOOKUP(J3,계산데이터!A:O,8,FALSE),0)</f>
        <v/>
      </c>
      <c r="L12" s="10">
        <f>J12*80500</f>
        <v/>
      </c>
      <c r="M12" s="10">
        <f>L12*1.1</f>
        <v/>
      </c>
    </row>
    <row r="13">
      <c r="B13" s="12" t="inlineStr">
        <is>
          <t>※ 모든 차량 최소 1P부터 가능 (트럭 통째 대여)
※ 가능한 모든 조합 중 비용이 가장 적은 조합을 자동으로 찾아줍니다
※ 적재P = 실제 실어보내는 파렛트 수 (입력값과 합계가 일치)</t>
        </is>
      </c>
      <c r="I13" s="13" t="inlineStr">
        <is>
          <t>합계</t>
        </is>
      </c>
      <c r="J13" s="14">
        <f>SUM(J7:J12)</f>
        <v/>
      </c>
      <c r="K13" s="15">
        <f>SUM(K7:K12)</f>
        <v/>
      </c>
      <c r="L13" s="15">
        <f>SUM(L7:L12)</f>
        <v/>
      </c>
      <c r="M13" s="15">
        <f>SUM(M7:M12)</f>
        <v/>
      </c>
    </row>
    <row r="14"/>
    <row r="15">
      <c r="I15" s="16" t="inlineStr">
        <is>
          <t>파렛당 평균 (VAT별도)</t>
        </is>
      </c>
      <c r="J15" s="17" t="n"/>
      <c r="K15" s="5" t="n"/>
      <c r="L15" s="18">
        <f>IF(J3&gt;0,ROUND(L13/J3,0),0)</f>
        <v/>
      </c>
    </row>
    <row r="16">
      <c r="I16" s="16" t="inlineStr">
        <is>
          <t>파렛당 평균 (VAT포함)</t>
        </is>
      </c>
      <c r="J16" s="17" t="n"/>
      <c r="K16" s="5" t="n"/>
      <c r="M16" s="18">
        <f>IF(J3&gt;0,ROUND(M13/J3,0),0)</f>
        <v/>
      </c>
    </row>
  </sheetData>
  <mergeCells count="8">
    <mergeCell ref="B2:G2"/>
    <mergeCell ref="J3:K3"/>
    <mergeCell ref="I16:K16"/>
    <mergeCell ref="I2:K2"/>
    <mergeCell ref="B13:G15"/>
    <mergeCell ref="B12:G12"/>
    <mergeCell ref="I5:M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1톤_대수</t>
        </is>
      </c>
      <c r="C1" t="inlineStr">
        <is>
          <t>2.5톤_대수</t>
        </is>
      </c>
      <c r="D1" t="inlineStr">
        <is>
          <t>3.5톤_대수</t>
        </is>
      </c>
      <c r="E1" t="inlineStr">
        <is>
          <t>5톤_대수</t>
        </is>
      </c>
      <c r="F1" t="inlineStr">
        <is>
          <t>8톤_대수</t>
        </is>
      </c>
      <c r="G1" t="inlineStr">
        <is>
          <t>11톤_대수</t>
        </is>
      </c>
      <c r="H1" t="inlineStr">
        <is>
          <t>1톤_적재P</t>
        </is>
      </c>
      <c r="I1" t="inlineStr">
        <is>
          <t>2.5톤_적재P</t>
        </is>
      </c>
      <c r="J1" t="inlineStr">
        <is>
          <t>3.5톤_적재P</t>
        </is>
      </c>
      <c r="K1" t="inlineStr">
        <is>
          <t>5톤_적재P</t>
        </is>
      </c>
      <c r="L1" t="inlineStr">
        <is>
          <t>8톤_적재P</t>
        </is>
      </c>
      <c r="M1" t="inlineStr">
        <is>
          <t>11톤_적재P</t>
        </is>
      </c>
      <c r="N1" t="inlineStr">
        <is>
          <t>총비용</t>
        </is>
      </c>
      <c r="O1" t="inlineStr">
        <is>
          <t>총대수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80500</v>
      </c>
      <c r="O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80500</v>
      </c>
      <c r="O3" t="n">
        <v>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94500</v>
      </c>
      <c r="O4" t="n">
        <v>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107500</v>
      </c>
      <c r="O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129500</v>
      </c>
      <c r="O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129500</v>
      </c>
      <c r="O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129500</v>
      </c>
      <c r="O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129500</v>
      </c>
      <c r="O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129500</v>
      </c>
      <c r="O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0</v>
      </c>
      <c r="N11" t="n">
        <v>129500</v>
      </c>
      <c r="O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n">
        <v>129500</v>
      </c>
      <c r="O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129500</v>
      </c>
      <c r="O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144000</v>
      </c>
      <c r="O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0</v>
      </c>
      <c r="N15" t="n">
        <v>144000</v>
      </c>
      <c r="O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168000</v>
      </c>
      <c r="O16" t="n">
        <v>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168000</v>
      </c>
      <c r="O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14</v>
      </c>
      <c r="M18" t="n">
        <v>0</v>
      </c>
      <c r="N18" t="n">
        <v>238500</v>
      </c>
      <c r="O18" t="n">
        <v>2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n">
        <v>248500</v>
      </c>
      <c r="O19" t="n">
        <v>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  <c r="L20" t="n">
        <v>0</v>
      </c>
      <c r="M20" t="n">
        <v>0</v>
      </c>
      <c r="N20" t="n">
        <v>259000</v>
      </c>
      <c r="O20" t="n">
        <v>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0</v>
      </c>
      <c r="N21" t="n">
        <v>259000</v>
      </c>
      <c r="O21" t="n">
        <v>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259000</v>
      </c>
      <c r="O22" t="n">
        <v>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n">
        <v>0</v>
      </c>
      <c r="M23" t="n">
        <v>0</v>
      </c>
      <c r="N23" t="n">
        <v>259000</v>
      </c>
      <c r="O23" t="n">
        <v>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n">
        <v>0</v>
      </c>
      <c r="M24" t="n">
        <v>0</v>
      </c>
      <c r="N24" t="n">
        <v>259000</v>
      </c>
      <c r="O24" t="n">
        <v>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0</v>
      </c>
      <c r="M25" t="n">
        <v>0</v>
      </c>
      <c r="N25" t="n">
        <v>259000</v>
      </c>
      <c r="O25" t="n">
        <v>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13</v>
      </c>
      <c r="M26" t="n">
        <v>0</v>
      </c>
      <c r="N26" t="n">
        <v>273500</v>
      </c>
      <c r="O26" t="n">
        <v>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14</v>
      </c>
      <c r="M27" t="n">
        <v>0</v>
      </c>
      <c r="N27" t="n">
        <v>273500</v>
      </c>
      <c r="O27" t="n">
        <v>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</v>
      </c>
      <c r="M28" t="n">
        <v>0</v>
      </c>
      <c r="N28" t="n">
        <v>288000</v>
      </c>
      <c r="O28" t="n">
        <v>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</v>
      </c>
      <c r="M29" t="n">
        <v>0</v>
      </c>
      <c r="N29" t="n">
        <v>288000</v>
      </c>
      <c r="O29" t="n">
        <v>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15</v>
      </c>
      <c r="N30" t="n">
        <v>312000</v>
      </c>
      <c r="O30" t="n">
        <v>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16</v>
      </c>
      <c r="N31" t="n">
        <v>312000</v>
      </c>
      <c r="O31" t="n">
        <v>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</v>
      </c>
      <c r="N32" t="n">
        <v>336000</v>
      </c>
      <c r="O32" t="n">
        <v>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</v>
      </c>
      <c r="N33" t="n">
        <v>336000</v>
      </c>
      <c r="O33" t="n">
        <v>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388500</v>
      </c>
      <c r="O34" t="n">
        <v>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</v>
      </c>
      <c r="L35" t="n">
        <v>0</v>
      </c>
      <c r="M35" t="n">
        <v>0</v>
      </c>
      <c r="N35" t="n">
        <v>388500</v>
      </c>
      <c r="O35" t="n">
        <v>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388500</v>
      </c>
      <c r="O36" t="n">
        <v>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</v>
      </c>
      <c r="L37" t="n">
        <v>0</v>
      </c>
      <c r="M37" t="n">
        <v>0</v>
      </c>
      <c r="N37" t="n">
        <v>388500</v>
      </c>
      <c r="O37" t="n">
        <v>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24</v>
      </c>
      <c r="L38" t="n">
        <v>13</v>
      </c>
      <c r="M38" t="n">
        <v>0</v>
      </c>
      <c r="N38" t="n">
        <v>403000</v>
      </c>
      <c r="O38" t="n">
        <v>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24</v>
      </c>
      <c r="L39" t="n">
        <v>14</v>
      </c>
      <c r="M39" t="n">
        <v>0</v>
      </c>
      <c r="N39" t="n">
        <v>403000</v>
      </c>
      <c r="O39" t="n">
        <v>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27</v>
      </c>
      <c r="M40" t="n">
        <v>0</v>
      </c>
      <c r="N40" t="n">
        <v>417500</v>
      </c>
      <c r="O40" t="n">
        <v>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  <c r="L41" t="n">
        <v>28</v>
      </c>
      <c r="M41" t="n">
        <v>0</v>
      </c>
      <c r="N41" t="n">
        <v>417500</v>
      </c>
      <c r="O41" t="n">
        <v>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</v>
      </c>
      <c r="M42" t="n">
        <v>0</v>
      </c>
      <c r="N42" t="n">
        <v>432000</v>
      </c>
      <c r="O42" t="n">
        <v>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</v>
      </c>
      <c r="M43" t="n">
        <v>0</v>
      </c>
      <c r="N43" t="n">
        <v>432000</v>
      </c>
      <c r="O43" t="n">
        <v>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28</v>
      </c>
      <c r="M44" t="n">
        <v>15</v>
      </c>
      <c r="N44" t="n">
        <v>456000</v>
      </c>
      <c r="O44" t="n">
        <v>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16</v>
      </c>
      <c r="N45" t="n">
        <v>456000</v>
      </c>
      <c r="O45" t="n">
        <v>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n">
        <v>31</v>
      </c>
      <c r="N46" t="n">
        <v>480000</v>
      </c>
      <c r="O46" t="n">
        <v>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14</v>
      </c>
      <c r="M47" t="n">
        <v>32</v>
      </c>
      <c r="N47" t="n">
        <v>480000</v>
      </c>
      <c r="O47" t="n">
        <v>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47</v>
      </c>
      <c r="N48" t="n">
        <v>504000</v>
      </c>
      <c r="O48" t="n">
        <v>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48</v>
      </c>
      <c r="N49" t="n">
        <v>504000</v>
      </c>
      <c r="O49" t="n">
        <v>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36</v>
      </c>
      <c r="L50" t="n">
        <v>13</v>
      </c>
      <c r="M50" t="n">
        <v>0</v>
      </c>
      <c r="N50" t="n">
        <v>532500</v>
      </c>
      <c r="O50" t="n">
        <v>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36</v>
      </c>
      <c r="L51" t="n">
        <v>14</v>
      </c>
      <c r="M51" t="n">
        <v>0</v>
      </c>
      <c r="N51" t="n">
        <v>532500</v>
      </c>
      <c r="O51" t="n">
        <v>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27</v>
      </c>
      <c r="M52" t="n">
        <v>0</v>
      </c>
      <c r="N52" t="n">
        <v>547000</v>
      </c>
      <c r="O52" t="n">
        <v>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28</v>
      </c>
      <c r="M53" t="n">
        <v>0</v>
      </c>
      <c r="N53" t="n">
        <v>547000</v>
      </c>
      <c r="O53" t="n">
        <v>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41</v>
      </c>
      <c r="M54" t="n">
        <v>0</v>
      </c>
      <c r="N54" t="n">
        <v>561500</v>
      </c>
      <c r="O54" t="n">
        <v>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42</v>
      </c>
      <c r="M55" t="n">
        <v>0</v>
      </c>
      <c r="N55" t="n">
        <v>561500</v>
      </c>
      <c r="O55" t="n">
        <v>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55</v>
      </c>
      <c r="M56" t="n">
        <v>0</v>
      </c>
      <c r="N56" t="n">
        <v>576000</v>
      </c>
      <c r="O56" t="n">
        <v>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56</v>
      </c>
      <c r="M57" t="n">
        <v>0</v>
      </c>
      <c r="N57" t="n">
        <v>576000</v>
      </c>
      <c r="O57" t="n">
        <v>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42</v>
      </c>
      <c r="M58" t="n">
        <v>15</v>
      </c>
      <c r="N58" t="n">
        <v>600000</v>
      </c>
      <c r="O58" t="n">
        <v>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42</v>
      </c>
      <c r="M59" t="n">
        <v>16</v>
      </c>
      <c r="N59" t="n">
        <v>600000</v>
      </c>
      <c r="O59" t="n">
        <v>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28</v>
      </c>
      <c r="M60" t="n">
        <v>31</v>
      </c>
      <c r="N60" t="n">
        <v>624000</v>
      </c>
      <c r="O60" t="n">
        <v>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28</v>
      </c>
      <c r="M61" t="n">
        <v>32</v>
      </c>
      <c r="N61" t="n">
        <v>624000</v>
      </c>
      <c r="O61" t="n">
        <v>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47</v>
      </c>
      <c r="N62" t="n">
        <v>648000</v>
      </c>
      <c r="O62" t="n">
        <v>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  <c r="M63" t="n">
        <v>48</v>
      </c>
      <c r="N63" t="n">
        <v>648000</v>
      </c>
      <c r="O63" t="n">
        <v>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63</v>
      </c>
      <c r="N64" t="n">
        <v>672000</v>
      </c>
      <c r="O64" t="n">
        <v>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64</v>
      </c>
      <c r="N65" t="n">
        <v>672000</v>
      </c>
      <c r="O65" t="n">
        <v>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24</v>
      </c>
      <c r="L66" t="n">
        <v>41</v>
      </c>
      <c r="M66" t="n">
        <v>0</v>
      </c>
      <c r="N66" t="n">
        <v>691000</v>
      </c>
      <c r="O66" t="n">
        <v>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2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24</v>
      </c>
      <c r="L67" t="n">
        <v>42</v>
      </c>
      <c r="M67" t="n">
        <v>0</v>
      </c>
      <c r="N67" t="n">
        <v>691000</v>
      </c>
      <c r="O67" t="n">
        <v>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55</v>
      </c>
      <c r="M68" t="n">
        <v>0</v>
      </c>
      <c r="N68" t="n">
        <v>705500</v>
      </c>
      <c r="O68" t="n">
        <v>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  <c r="L69" t="n">
        <v>56</v>
      </c>
      <c r="M69" t="n">
        <v>0</v>
      </c>
      <c r="N69" t="n">
        <v>705500</v>
      </c>
      <c r="O69" t="n">
        <v>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69</v>
      </c>
      <c r="M70" t="n">
        <v>0</v>
      </c>
      <c r="N70" t="n">
        <v>720000</v>
      </c>
      <c r="O70" t="n">
        <v>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n">
        <v>0</v>
      </c>
      <c r="N71" t="n">
        <v>720000</v>
      </c>
      <c r="O71" t="n">
        <v>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56</v>
      </c>
      <c r="M72" t="n">
        <v>15</v>
      </c>
      <c r="N72" t="n">
        <v>744000</v>
      </c>
      <c r="O72" t="n">
        <v>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56</v>
      </c>
      <c r="M73" t="n">
        <v>16</v>
      </c>
      <c r="N73" t="n">
        <v>744000</v>
      </c>
      <c r="O73" t="n">
        <v>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42</v>
      </c>
      <c r="M74" t="n">
        <v>31</v>
      </c>
      <c r="N74" t="n">
        <v>768000</v>
      </c>
      <c r="O74" t="n">
        <v>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3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42</v>
      </c>
      <c r="M75" t="n">
        <v>32</v>
      </c>
      <c r="N75" t="n">
        <v>768000</v>
      </c>
      <c r="O75" t="n">
        <v>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28</v>
      </c>
      <c r="M76" t="n">
        <v>47</v>
      </c>
      <c r="N76" t="n">
        <v>792000</v>
      </c>
      <c r="O76" t="n">
        <v>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28</v>
      </c>
      <c r="M77" t="n">
        <v>48</v>
      </c>
      <c r="N77" t="n">
        <v>792000</v>
      </c>
      <c r="O77" t="n">
        <v>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14</v>
      </c>
      <c r="M78" t="n">
        <v>63</v>
      </c>
      <c r="N78" t="n">
        <v>816000</v>
      </c>
      <c r="O78" t="n">
        <v>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14</v>
      </c>
      <c r="M79" t="n">
        <v>64</v>
      </c>
      <c r="N79" t="n">
        <v>816000</v>
      </c>
      <c r="O79" t="n">
        <v>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2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24</v>
      </c>
      <c r="L80" t="n">
        <v>55</v>
      </c>
      <c r="M80" t="n">
        <v>0</v>
      </c>
      <c r="N80" t="n">
        <v>835000</v>
      </c>
      <c r="O80" t="n">
        <v>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2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24</v>
      </c>
      <c r="L81" t="n">
        <v>56</v>
      </c>
      <c r="M81" t="n">
        <v>0</v>
      </c>
      <c r="N81" t="n">
        <v>835000</v>
      </c>
      <c r="O81" t="n">
        <v>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69</v>
      </c>
      <c r="M82" t="n">
        <v>0</v>
      </c>
      <c r="N82" t="n">
        <v>849500</v>
      </c>
      <c r="O82" t="n">
        <v>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70</v>
      </c>
      <c r="M83" t="n">
        <v>0</v>
      </c>
      <c r="N83" t="n">
        <v>849500</v>
      </c>
      <c r="O83" t="n">
        <v>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83</v>
      </c>
      <c r="M84" t="n">
        <v>0</v>
      </c>
      <c r="N84" t="n">
        <v>864000</v>
      </c>
      <c r="O84" t="n">
        <v>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84</v>
      </c>
      <c r="M85" t="n">
        <v>0</v>
      </c>
      <c r="N85" t="n">
        <v>864000</v>
      </c>
      <c r="O85" t="n">
        <v>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5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n">
        <v>15</v>
      </c>
      <c r="N86" t="n">
        <v>888000</v>
      </c>
      <c r="O86" t="n">
        <v>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n">
        <v>16</v>
      </c>
      <c r="N87" t="n">
        <v>888000</v>
      </c>
      <c r="O87" t="n">
        <v>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4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56</v>
      </c>
      <c r="M88" t="n">
        <v>31</v>
      </c>
      <c r="N88" t="n">
        <v>912000</v>
      </c>
      <c r="O88" t="n">
        <v>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4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56</v>
      </c>
      <c r="M89" t="n">
        <v>32</v>
      </c>
      <c r="N89" t="n">
        <v>912000</v>
      </c>
      <c r="O89" t="n">
        <v>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42</v>
      </c>
      <c r="M90" t="n">
        <v>47</v>
      </c>
      <c r="N90" t="n">
        <v>936000</v>
      </c>
      <c r="O90" t="n">
        <v>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42</v>
      </c>
      <c r="M91" t="n">
        <v>48</v>
      </c>
      <c r="N91" t="n">
        <v>936000</v>
      </c>
      <c r="O91" t="n">
        <v>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28</v>
      </c>
      <c r="M92" t="n">
        <v>63</v>
      </c>
      <c r="N92" t="n">
        <v>960000</v>
      </c>
      <c r="O92" t="n">
        <v>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28</v>
      </c>
      <c r="M93" t="n">
        <v>64</v>
      </c>
      <c r="N93" t="n">
        <v>960000</v>
      </c>
      <c r="O93" t="n">
        <v>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24</v>
      </c>
      <c r="L94" t="n">
        <v>69</v>
      </c>
      <c r="M94" t="n">
        <v>0</v>
      </c>
      <c r="N94" t="n">
        <v>979000</v>
      </c>
      <c r="O94" t="n">
        <v>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2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24</v>
      </c>
      <c r="L95" t="n">
        <v>70</v>
      </c>
      <c r="M95" t="n">
        <v>0</v>
      </c>
      <c r="N95" t="n">
        <v>979000</v>
      </c>
      <c r="O95" t="n">
        <v>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83</v>
      </c>
      <c r="M96" t="n">
        <v>0</v>
      </c>
      <c r="N96" t="n">
        <v>993500</v>
      </c>
      <c r="O96" t="n">
        <v>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84</v>
      </c>
      <c r="M97" t="n">
        <v>0</v>
      </c>
      <c r="N97" t="n">
        <v>993500</v>
      </c>
      <c r="O97" t="n">
        <v>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97</v>
      </c>
      <c r="M98" t="n">
        <v>0</v>
      </c>
      <c r="N98" t="n">
        <v>1008000</v>
      </c>
      <c r="O98" t="n">
        <v>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98</v>
      </c>
      <c r="M99" t="n">
        <v>0</v>
      </c>
      <c r="N99" t="n">
        <v>1008000</v>
      </c>
      <c r="O99" t="n">
        <v>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84</v>
      </c>
      <c r="M100" t="n">
        <v>15</v>
      </c>
      <c r="N100" t="n">
        <v>1032000</v>
      </c>
      <c r="O100" t="n">
        <v>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6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84</v>
      </c>
      <c r="M101" t="n">
        <v>16</v>
      </c>
      <c r="N101" t="n">
        <v>1032000</v>
      </c>
      <c r="O101" t="n">
        <v>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5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n">
        <v>31</v>
      </c>
      <c r="N102" t="n">
        <v>1056000</v>
      </c>
      <c r="O102" t="n">
        <v>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5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n">
        <v>32</v>
      </c>
      <c r="N103" t="n">
        <v>1056000</v>
      </c>
      <c r="O103" t="n">
        <v>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4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56</v>
      </c>
      <c r="M104" t="n">
        <v>47</v>
      </c>
      <c r="N104" t="n">
        <v>1080000</v>
      </c>
      <c r="O104" t="n">
        <v>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56</v>
      </c>
      <c r="M105" t="n">
        <v>48</v>
      </c>
      <c r="N105" t="n">
        <v>1080000</v>
      </c>
      <c r="O105" t="n">
        <v>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42</v>
      </c>
      <c r="M106" t="n">
        <v>63</v>
      </c>
      <c r="N106" t="n">
        <v>1104000</v>
      </c>
      <c r="O106" t="n">
        <v>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3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42</v>
      </c>
      <c r="M107" t="n">
        <v>64</v>
      </c>
      <c r="N107" t="n">
        <v>1104000</v>
      </c>
      <c r="O107" t="n">
        <v>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2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24</v>
      </c>
      <c r="L108" t="n">
        <v>83</v>
      </c>
      <c r="M108" t="n">
        <v>0</v>
      </c>
      <c r="N108" t="n">
        <v>1123000</v>
      </c>
      <c r="O108" t="n">
        <v>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2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24</v>
      </c>
      <c r="L109" t="n">
        <v>84</v>
      </c>
      <c r="M109" t="n">
        <v>0</v>
      </c>
      <c r="N109" t="n">
        <v>1123000</v>
      </c>
      <c r="O109" t="n">
        <v>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7</v>
      </c>
      <c r="G110" t="n">
        <v>0</v>
      </c>
      <c r="H110" t="n">
        <v>0</v>
      </c>
      <c r="I110" t="n">
        <v>0</v>
      </c>
      <c r="J110" t="n">
        <v>0</v>
      </c>
      <c r="K110" t="n">
        <v>12</v>
      </c>
      <c r="L110" t="n">
        <v>97</v>
      </c>
      <c r="M110" t="n">
        <v>0</v>
      </c>
      <c r="N110" t="n">
        <v>1137500</v>
      </c>
      <c r="O110" t="n">
        <v>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7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98</v>
      </c>
      <c r="M111" t="n">
        <v>0</v>
      </c>
      <c r="N111" t="n">
        <v>1137500</v>
      </c>
      <c r="O111" t="n">
        <v>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111</v>
      </c>
      <c r="M112" t="n">
        <v>0</v>
      </c>
      <c r="N112" t="n">
        <v>1152000</v>
      </c>
      <c r="O112" t="n">
        <v>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112</v>
      </c>
      <c r="M113" t="n">
        <v>0</v>
      </c>
      <c r="N113" t="n">
        <v>1152000</v>
      </c>
      <c r="O113" t="n">
        <v>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98</v>
      </c>
      <c r="M114" t="n">
        <v>15</v>
      </c>
      <c r="N114" t="n">
        <v>1176000</v>
      </c>
      <c r="O114" t="n">
        <v>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98</v>
      </c>
      <c r="M115" t="n">
        <v>16</v>
      </c>
      <c r="N115" t="n">
        <v>1176000</v>
      </c>
      <c r="O115" t="n">
        <v>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6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84</v>
      </c>
      <c r="M116" t="n">
        <v>31</v>
      </c>
      <c r="N116" t="n">
        <v>1200000</v>
      </c>
      <c r="O116" t="n">
        <v>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6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84</v>
      </c>
      <c r="M117" t="n">
        <v>32</v>
      </c>
      <c r="N117" t="n">
        <v>1200000</v>
      </c>
      <c r="O117" t="n">
        <v>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5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n">
        <v>47</v>
      </c>
      <c r="N118" t="n">
        <v>1224000</v>
      </c>
      <c r="O118" t="n">
        <v>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5</v>
      </c>
      <c r="G119" t="n">
        <v>3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n">
        <v>48</v>
      </c>
      <c r="N119" t="n">
        <v>1224000</v>
      </c>
      <c r="O119" t="n">
        <v>8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4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56</v>
      </c>
      <c r="M120" t="n">
        <v>63</v>
      </c>
      <c r="N120" t="n">
        <v>1248000</v>
      </c>
      <c r="O120" t="n">
        <v>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4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56</v>
      </c>
      <c r="M121" t="n">
        <v>64</v>
      </c>
      <c r="N121" t="n">
        <v>1248000</v>
      </c>
      <c r="O121" t="n">
        <v>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2</v>
      </c>
      <c r="F122" t="n">
        <v>7</v>
      </c>
      <c r="G122" t="n">
        <v>0</v>
      </c>
      <c r="H122" t="n">
        <v>0</v>
      </c>
      <c r="I122" t="n">
        <v>0</v>
      </c>
      <c r="J122" t="n">
        <v>0</v>
      </c>
      <c r="K122" t="n">
        <v>24</v>
      </c>
      <c r="L122" t="n">
        <v>97</v>
      </c>
      <c r="M122" t="n">
        <v>0</v>
      </c>
      <c r="N122" t="n">
        <v>1267000</v>
      </c>
      <c r="O122" t="n">
        <v>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2</v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24</v>
      </c>
      <c r="L123" t="n">
        <v>98</v>
      </c>
      <c r="M123" t="n">
        <v>0</v>
      </c>
      <c r="N123" t="n">
        <v>1267000</v>
      </c>
      <c r="O123" t="n">
        <v>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8</v>
      </c>
      <c r="G124" t="n">
        <v>0</v>
      </c>
      <c r="H124" t="n">
        <v>0</v>
      </c>
      <c r="I124" t="n">
        <v>0</v>
      </c>
      <c r="J124" t="n">
        <v>0</v>
      </c>
      <c r="K124" t="n">
        <v>12</v>
      </c>
      <c r="L124" t="n">
        <v>111</v>
      </c>
      <c r="M124" t="n">
        <v>0</v>
      </c>
      <c r="N124" t="n">
        <v>1281500</v>
      </c>
      <c r="O124" t="n">
        <v>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8</v>
      </c>
      <c r="G125" t="n">
        <v>0</v>
      </c>
      <c r="H125" t="n">
        <v>0</v>
      </c>
      <c r="I125" t="n">
        <v>0</v>
      </c>
      <c r="J125" t="n">
        <v>0</v>
      </c>
      <c r="K125" t="n">
        <v>12</v>
      </c>
      <c r="L125" t="n">
        <v>112</v>
      </c>
      <c r="M125" t="n">
        <v>0</v>
      </c>
      <c r="N125" t="n">
        <v>1281500</v>
      </c>
      <c r="O125" t="n">
        <v>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125</v>
      </c>
      <c r="M126" t="n">
        <v>0</v>
      </c>
      <c r="N126" t="n">
        <v>1296000</v>
      </c>
      <c r="O126" t="n">
        <v>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126</v>
      </c>
      <c r="M127" t="n">
        <v>0</v>
      </c>
      <c r="N127" t="n">
        <v>1296000</v>
      </c>
      <c r="O127" t="n">
        <v>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112</v>
      </c>
      <c r="M128" t="n">
        <v>15</v>
      </c>
      <c r="N128" t="n">
        <v>1320000</v>
      </c>
      <c r="O128" t="n">
        <v>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112</v>
      </c>
      <c r="M129" t="n">
        <v>16</v>
      </c>
      <c r="N129" t="n">
        <v>1320000</v>
      </c>
      <c r="O129" t="n">
        <v>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7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98</v>
      </c>
      <c r="M130" t="n">
        <v>31</v>
      </c>
      <c r="N130" t="n">
        <v>1344000</v>
      </c>
      <c r="O130" t="n">
        <v>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7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98</v>
      </c>
      <c r="M131" t="n">
        <v>32</v>
      </c>
      <c r="N131" t="n">
        <v>1344000</v>
      </c>
      <c r="O131" t="n">
        <v>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84</v>
      </c>
      <c r="M132" t="n">
        <v>47</v>
      </c>
      <c r="N132" t="n">
        <v>1368000</v>
      </c>
      <c r="O132" t="n">
        <v>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6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84</v>
      </c>
      <c r="M133" t="n">
        <v>48</v>
      </c>
      <c r="N133" t="n">
        <v>1368000</v>
      </c>
      <c r="O133" t="n">
        <v>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5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n">
        <v>63</v>
      </c>
      <c r="N134" t="n">
        <v>1392000</v>
      </c>
      <c r="O134" t="n">
        <v>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5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n">
        <v>64</v>
      </c>
      <c r="N135" t="n">
        <v>1392000</v>
      </c>
      <c r="O135" t="n">
        <v>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2</v>
      </c>
      <c r="F136" t="n">
        <v>8</v>
      </c>
      <c r="G136" t="n">
        <v>0</v>
      </c>
      <c r="H136" t="n">
        <v>0</v>
      </c>
      <c r="I136" t="n">
        <v>0</v>
      </c>
      <c r="J136" t="n">
        <v>0</v>
      </c>
      <c r="K136" t="n">
        <v>24</v>
      </c>
      <c r="L136" t="n">
        <v>111</v>
      </c>
      <c r="M136" t="n">
        <v>0</v>
      </c>
      <c r="N136" t="n">
        <v>1411000</v>
      </c>
      <c r="O136" t="n">
        <v>10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</v>
      </c>
      <c r="F137" t="n">
        <v>8</v>
      </c>
      <c r="G137" t="n">
        <v>0</v>
      </c>
      <c r="H137" t="n">
        <v>0</v>
      </c>
      <c r="I137" t="n">
        <v>0</v>
      </c>
      <c r="J137" t="n">
        <v>0</v>
      </c>
      <c r="K137" t="n">
        <v>24</v>
      </c>
      <c r="L137" t="n">
        <v>112</v>
      </c>
      <c r="M137" t="n">
        <v>0</v>
      </c>
      <c r="N137" t="n">
        <v>1411000</v>
      </c>
      <c r="O137" t="n">
        <v>10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9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125</v>
      </c>
      <c r="M138" t="n">
        <v>0</v>
      </c>
      <c r="N138" t="n">
        <v>1425500</v>
      </c>
      <c r="O138" t="n">
        <v>10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9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126</v>
      </c>
      <c r="M139" t="n">
        <v>0</v>
      </c>
      <c r="N139" t="n">
        <v>1425500</v>
      </c>
      <c r="O139" t="n">
        <v>10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139</v>
      </c>
      <c r="M140" t="n">
        <v>0</v>
      </c>
      <c r="N140" t="n">
        <v>1440000</v>
      </c>
      <c r="O140" t="n">
        <v>10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140</v>
      </c>
      <c r="M141" t="n">
        <v>0</v>
      </c>
      <c r="N141" t="n">
        <v>1440000</v>
      </c>
      <c r="O141" t="n">
        <v>10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9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126</v>
      </c>
      <c r="M142" t="n">
        <v>15</v>
      </c>
      <c r="N142" t="n">
        <v>1464000</v>
      </c>
      <c r="O142" t="n">
        <v>10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9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126</v>
      </c>
      <c r="M143" t="n">
        <v>16</v>
      </c>
      <c r="N143" t="n">
        <v>1464000</v>
      </c>
      <c r="O143" t="n">
        <v>10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8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112</v>
      </c>
      <c r="M144" t="n">
        <v>31</v>
      </c>
      <c r="N144" t="n">
        <v>1488000</v>
      </c>
      <c r="O144" t="n">
        <v>10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8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112</v>
      </c>
      <c r="M145" t="n">
        <v>32</v>
      </c>
      <c r="N145" t="n">
        <v>1488000</v>
      </c>
      <c r="O145" t="n">
        <v>10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7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98</v>
      </c>
      <c r="M146" t="n">
        <v>47</v>
      </c>
      <c r="N146" t="n">
        <v>1512000</v>
      </c>
      <c r="O146" t="n">
        <v>10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7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98</v>
      </c>
      <c r="M147" t="n">
        <v>48</v>
      </c>
      <c r="N147" t="n">
        <v>1512000</v>
      </c>
      <c r="O147" t="n">
        <v>10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6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84</v>
      </c>
      <c r="M148" t="n">
        <v>63</v>
      </c>
      <c r="N148" t="n">
        <v>1536000</v>
      </c>
      <c r="O148" t="n">
        <v>10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6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84</v>
      </c>
      <c r="M149" t="n">
        <v>64</v>
      </c>
      <c r="N149" t="n">
        <v>1536000</v>
      </c>
      <c r="O149" t="n">
        <v>10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2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24</v>
      </c>
      <c r="L150" t="n">
        <v>125</v>
      </c>
      <c r="M150" t="n">
        <v>0</v>
      </c>
      <c r="N150" t="n">
        <v>1555000</v>
      </c>
      <c r="O150" t="n">
        <v>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2</v>
      </c>
      <c r="F151" t="n">
        <v>9</v>
      </c>
      <c r="G151" t="n">
        <v>0</v>
      </c>
      <c r="H151" t="n">
        <v>0</v>
      </c>
      <c r="I151" t="n">
        <v>0</v>
      </c>
      <c r="J151" t="n">
        <v>0</v>
      </c>
      <c r="K151" t="n">
        <v>24</v>
      </c>
      <c r="L151" t="n">
        <v>126</v>
      </c>
      <c r="M151" t="n">
        <v>0</v>
      </c>
      <c r="N151" t="n">
        <v>1555000</v>
      </c>
      <c r="O151" t="n">
        <v>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139</v>
      </c>
      <c r="M152" t="n">
        <v>0</v>
      </c>
      <c r="N152" t="n">
        <v>1569500</v>
      </c>
      <c r="O152" t="n">
        <v>11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10</v>
      </c>
      <c r="G153" t="n">
        <v>0</v>
      </c>
      <c r="H153" t="n">
        <v>0</v>
      </c>
      <c r="I153" t="n">
        <v>0</v>
      </c>
      <c r="J153" t="n">
        <v>0</v>
      </c>
      <c r="K153" t="n">
        <v>12</v>
      </c>
      <c r="L153" t="n">
        <v>140</v>
      </c>
      <c r="M153" t="n">
        <v>0</v>
      </c>
      <c r="N153" t="n">
        <v>1569500</v>
      </c>
      <c r="O153" t="n">
        <v>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153</v>
      </c>
      <c r="M154" t="n">
        <v>0</v>
      </c>
      <c r="N154" t="n">
        <v>1584000</v>
      </c>
      <c r="O154" t="n">
        <v>11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154</v>
      </c>
      <c r="M155" t="n">
        <v>0</v>
      </c>
      <c r="N155" t="n">
        <v>1584000</v>
      </c>
      <c r="O155" t="n">
        <v>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140</v>
      </c>
      <c r="M156" t="n">
        <v>15</v>
      </c>
      <c r="N156" t="n">
        <v>1608000</v>
      </c>
      <c r="O156" t="n">
        <v>11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140</v>
      </c>
      <c r="M157" t="n">
        <v>16</v>
      </c>
      <c r="N157" t="n">
        <v>1608000</v>
      </c>
      <c r="O157" t="n">
        <v>11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9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126</v>
      </c>
      <c r="M158" t="n">
        <v>31</v>
      </c>
      <c r="N158" t="n">
        <v>1632000</v>
      </c>
      <c r="O158" t="n">
        <v>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9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126</v>
      </c>
      <c r="M159" t="n">
        <v>32</v>
      </c>
      <c r="N159" t="n">
        <v>1632000</v>
      </c>
      <c r="O159" t="n">
        <v>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8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112</v>
      </c>
      <c r="M160" t="n">
        <v>47</v>
      </c>
      <c r="N160" t="n">
        <v>1656000</v>
      </c>
      <c r="O160" t="n">
        <v>11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8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112</v>
      </c>
      <c r="M161" t="n">
        <v>48</v>
      </c>
      <c r="N161" t="n">
        <v>1656000</v>
      </c>
      <c r="O161" t="n">
        <v>11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7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98</v>
      </c>
      <c r="M162" t="n">
        <v>63</v>
      </c>
      <c r="N162" t="n">
        <v>1680000</v>
      </c>
      <c r="O162" t="n">
        <v>11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7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98</v>
      </c>
      <c r="M163" t="n">
        <v>64</v>
      </c>
      <c r="N163" t="n">
        <v>1680000</v>
      </c>
      <c r="O163" t="n">
        <v>11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2</v>
      </c>
      <c r="F164" t="n">
        <v>10</v>
      </c>
      <c r="G164" t="n">
        <v>0</v>
      </c>
      <c r="H164" t="n">
        <v>0</v>
      </c>
      <c r="I164" t="n">
        <v>0</v>
      </c>
      <c r="J164" t="n">
        <v>0</v>
      </c>
      <c r="K164" t="n">
        <v>24</v>
      </c>
      <c r="L164" t="n">
        <v>139</v>
      </c>
      <c r="M164" t="n">
        <v>0</v>
      </c>
      <c r="N164" t="n">
        <v>1699000</v>
      </c>
      <c r="O164" t="n">
        <v>12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2</v>
      </c>
      <c r="F165" t="n">
        <v>10</v>
      </c>
      <c r="G165" t="n">
        <v>0</v>
      </c>
      <c r="H165" t="n">
        <v>0</v>
      </c>
      <c r="I165" t="n">
        <v>0</v>
      </c>
      <c r="J165" t="n">
        <v>0</v>
      </c>
      <c r="K165" t="n">
        <v>24</v>
      </c>
      <c r="L165" t="n">
        <v>140</v>
      </c>
      <c r="M165" t="n">
        <v>0</v>
      </c>
      <c r="N165" t="n">
        <v>1699000</v>
      </c>
      <c r="O165" t="n">
        <v>12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11</v>
      </c>
      <c r="G166" t="n">
        <v>0</v>
      </c>
      <c r="H166" t="n">
        <v>0</v>
      </c>
      <c r="I166" t="n">
        <v>0</v>
      </c>
      <c r="J166" t="n">
        <v>0</v>
      </c>
      <c r="K166" t="n">
        <v>12</v>
      </c>
      <c r="L166" t="n">
        <v>153</v>
      </c>
      <c r="M166" t="n">
        <v>0</v>
      </c>
      <c r="N166" t="n">
        <v>1713500</v>
      </c>
      <c r="O166" t="n">
        <v>12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11</v>
      </c>
      <c r="G167" t="n">
        <v>0</v>
      </c>
      <c r="H167" t="n">
        <v>0</v>
      </c>
      <c r="I167" t="n">
        <v>0</v>
      </c>
      <c r="J167" t="n">
        <v>0</v>
      </c>
      <c r="K167" t="n">
        <v>12</v>
      </c>
      <c r="L167" t="n">
        <v>154</v>
      </c>
      <c r="M167" t="n">
        <v>0</v>
      </c>
      <c r="N167" t="n">
        <v>1713500</v>
      </c>
      <c r="O167" t="n">
        <v>12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167</v>
      </c>
      <c r="M168" t="n">
        <v>0</v>
      </c>
      <c r="N168" t="n">
        <v>1728000</v>
      </c>
      <c r="O168" t="n">
        <v>12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168</v>
      </c>
      <c r="M169" t="n">
        <v>0</v>
      </c>
      <c r="N169" t="n">
        <v>1728000</v>
      </c>
      <c r="O169" t="n">
        <v>12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154</v>
      </c>
      <c r="M170" t="n">
        <v>15</v>
      </c>
      <c r="N170" t="n">
        <v>1752000</v>
      </c>
      <c r="O170" t="n">
        <v>12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154</v>
      </c>
      <c r="M171" t="n">
        <v>16</v>
      </c>
      <c r="N171" t="n">
        <v>1752000</v>
      </c>
      <c r="O171" t="n">
        <v>12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140</v>
      </c>
      <c r="M172" t="n">
        <v>31</v>
      </c>
      <c r="N172" t="n">
        <v>1776000</v>
      </c>
      <c r="O172" t="n">
        <v>12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10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140</v>
      </c>
      <c r="M173" t="n">
        <v>32</v>
      </c>
      <c r="N173" t="n">
        <v>1776000</v>
      </c>
      <c r="O173" t="n">
        <v>12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9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126</v>
      </c>
      <c r="M174" t="n">
        <v>47</v>
      </c>
      <c r="N174" t="n">
        <v>1800000</v>
      </c>
      <c r="O174" t="n">
        <v>12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9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126</v>
      </c>
      <c r="M175" t="n">
        <v>48</v>
      </c>
      <c r="N175" t="n">
        <v>1800000</v>
      </c>
      <c r="O175" t="n">
        <v>12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8</v>
      </c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112</v>
      </c>
      <c r="M176" t="n">
        <v>63</v>
      </c>
      <c r="N176" t="n">
        <v>1824000</v>
      </c>
      <c r="O176" t="n">
        <v>12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8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112</v>
      </c>
      <c r="M177" t="n">
        <v>64</v>
      </c>
      <c r="N177" t="n">
        <v>1824000</v>
      </c>
      <c r="O177" t="n">
        <v>12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2</v>
      </c>
      <c r="F178" t="n">
        <v>11</v>
      </c>
      <c r="G178" t="n">
        <v>0</v>
      </c>
      <c r="H178" t="n">
        <v>0</v>
      </c>
      <c r="I178" t="n">
        <v>0</v>
      </c>
      <c r="J178" t="n">
        <v>0</v>
      </c>
      <c r="K178" t="n">
        <v>24</v>
      </c>
      <c r="L178" t="n">
        <v>153</v>
      </c>
      <c r="M178" t="n">
        <v>0</v>
      </c>
      <c r="N178" t="n">
        <v>1843000</v>
      </c>
      <c r="O178" t="n">
        <v>13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2</v>
      </c>
      <c r="F179" t="n">
        <v>11</v>
      </c>
      <c r="G179" t="n">
        <v>0</v>
      </c>
      <c r="H179" t="n">
        <v>0</v>
      </c>
      <c r="I179" t="n">
        <v>0</v>
      </c>
      <c r="J179" t="n">
        <v>0</v>
      </c>
      <c r="K179" t="n">
        <v>24</v>
      </c>
      <c r="L179" t="n">
        <v>154</v>
      </c>
      <c r="M179" t="n">
        <v>0</v>
      </c>
      <c r="N179" t="n">
        <v>1843000</v>
      </c>
      <c r="O179" t="n">
        <v>13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12</v>
      </c>
      <c r="G180" t="n">
        <v>0</v>
      </c>
      <c r="H180" t="n">
        <v>0</v>
      </c>
      <c r="I180" t="n">
        <v>0</v>
      </c>
      <c r="J180" t="n">
        <v>0</v>
      </c>
      <c r="K180" t="n">
        <v>12</v>
      </c>
      <c r="L180" t="n">
        <v>167</v>
      </c>
      <c r="M180" t="n">
        <v>0</v>
      </c>
      <c r="N180" t="n">
        <v>1857500</v>
      </c>
      <c r="O180" t="n">
        <v>13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12</v>
      </c>
      <c r="G181" t="n">
        <v>0</v>
      </c>
      <c r="H181" t="n">
        <v>0</v>
      </c>
      <c r="I181" t="n">
        <v>0</v>
      </c>
      <c r="J181" t="n">
        <v>0</v>
      </c>
      <c r="K181" t="n">
        <v>12</v>
      </c>
      <c r="L181" t="n">
        <v>168</v>
      </c>
      <c r="M181" t="n">
        <v>0</v>
      </c>
      <c r="N181" t="n">
        <v>1857500</v>
      </c>
      <c r="O181" t="n">
        <v>13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181</v>
      </c>
      <c r="M182" t="n">
        <v>0</v>
      </c>
      <c r="N182" t="n">
        <v>1872000</v>
      </c>
      <c r="O182" t="n">
        <v>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182</v>
      </c>
      <c r="M183" t="n">
        <v>0</v>
      </c>
      <c r="N183" t="n">
        <v>1872000</v>
      </c>
      <c r="O183" t="n">
        <v>13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168</v>
      </c>
      <c r="M184" t="n">
        <v>15</v>
      </c>
      <c r="N184" t="n">
        <v>1896000</v>
      </c>
      <c r="O184" t="n">
        <v>13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12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168</v>
      </c>
      <c r="M185" t="n">
        <v>16</v>
      </c>
      <c r="N185" t="n">
        <v>1896000</v>
      </c>
      <c r="O185" t="n">
        <v>13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11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154</v>
      </c>
      <c r="M186" t="n">
        <v>31</v>
      </c>
      <c r="N186" t="n">
        <v>1920000</v>
      </c>
      <c r="O186" t="n">
        <v>13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11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154</v>
      </c>
      <c r="M187" t="n">
        <v>32</v>
      </c>
      <c r="N187" t="n">
        <v>1920000</v>
      </c>
      <c r="O187" t="n">
        <v>13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10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140</v>
      </c>
      <c r="M188" t="n">
        <v>47</v>
      </c>
      <c r="N188" t="n">
        <v>1944000</v>
      </c>
      <c r="O188" t="n">
        <v>13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10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140</v>
      </c>
      <c r="M189" t="n">
        <v>48</v>
      </c>
      <c r="N189" t="n">
        <v>1944000</v>
      </c>
      <c r="O189" t="n">
        <v>13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9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126</v>
      </c>
      <c r="M190" t="n">
        <v>63</v>
      </c>
      <c r="N190" t="n">
        <v>1968000</v>
      </c>
      <c r="O190" t="n">
        <v>13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9</v>
      </c>
      <c r="G191" t="n">
        <v>4</v>
      </c>
      <c r="H191" t="n">
        <v>0</v>
      </c>
      <c r="I191" t="n">
        <v>0</v>
      </c>
      <c r="J191" t="n">
        <v>0</v>
      </c>
      <c r="K191" t="n">
        <v>0</v>
      </c>
      <c r="L191" t="n">
        <v>126</v>
      </c>
      <c r="M191" t="n">
        <v>64</v>
      </c>
      <c r="N191" t="n">
        <v>1968000</v>
      </c>
      <c r="O191" t="n">
        <v>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2</v>
      </c>
      <c r="F192" t="n">
        <v>12</v>
      </c>
      <c r="G192" t="n">
        <v>0</v>
      </c>
      <c r="H192" t="n">
        <v>0</v>
      </c>
      <c r="I192" t="n">
        <v>0</v>
      </c>
      <c r="J192" t="n">
        <v>0</v>
      </c>
      <c r="K192" t="n">
        <v>24</v>
      </c>
      <c r="L192" t="n">
        <v>167</v>
      </c>
      <c r="M192" t="n">
        <v>0</v>
      </c>
      <c r="N192" t="n">
        <v>1987000</v>
      </c>
      <c r="O192" t="n">
        <v>14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2</v>
      </c>
      <c r="F193" t="n">
        <v>12</v>
      </c>
      <c r="G193" t="n">
        <v>0</v>
      </c>
      <c r="H193" t="n">
        <v>0</v>
      </c>
      <c r="I193" t="n">
        <v>0</v>
      </c>
      <c r="J193" t="n">
        <v>0</v>
      </c>
      <c r="K193" t="n">
        <v>24</v>
      </c>
      <c r="L193" t="n">
        <v>168</v>
      </c>
      <c r="M193" t="n">
        <v>0</v>
      </c>
      <c r="N193" t="n">
        <v>1987000</v>
      </c>
      <c r="O193" t="n">
        <v>14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13</v>
      </c>
      <c r="G194" t="n">
        <v>0</v>
      </c>
      <c r="H194" t="n">
        <v>0</v>
      </c>
      <c r="I194" t="n">
        <v>0</v>
      </c>
      <c r="J194" t="n">
        <v>0</v>
      </c>
      <c r="K194" t="n">
        <v>12</v>
      </c>
      <c r="L194" t="n">
        <v>181</v>
      </c>
      <c r="M194" t="n">
        <v>0</v>
      </c>
      <c r="N194" t="n">
        <v>2001500</v>
      </c>
      <c r="O194" t="n">
        <v>14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13</v>
      </c>
      <c r="G195" t="n">
        <v>0</v>
      </c>
      <c r="H195" t="n">
        <v>0</v>
      </c>
      <c r="I195" t="n">
        <v>0</v>
      </c>
      <c r="J195" t="n">
        <v>0</v>
      </c>
      <c r="K195" t="n">
        <v>12</v>
      </c>
      <c r="L195" t="n">
        <v>182</v>
      </c>
      <c r="M195" t="n">
        <v>0</v>
      </c>
      <c r="N195" t="n">
        <v>2001500</v>
      </c>
      <c r="O195" t="n">
        <v>14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195</v>
      </c>
      <c r="M196" t="n">
        <v>0</v>
      </c>
      <c r="N196" t="n">
        <v>2016000</v>
      </c>
      <c r="O196" t="n">
        <v>14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196</v>
      </c>
      <c r="M197" t="n">
        <v>0</v>
      </c>
      <c r="N197" t="n">
        <v>2016000</v>
      </c>
      <c r="O197" t="n">
        <v>14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13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182</v>
      </c>
      <c r="M198" t="n">
        <v>15</v>
      </c>
      <c r="N198" t="n">
        <v>2040000</v>
      </c>
      <c r="O198" t="n">
        <v>14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13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182</v>
      </c>
      <c r="M199" t="n">
        <v>16</v>
      </c>
      <c r="N199" t="n">
        <v>2040000</v>
      </c>
      <c r="O199" t="n">
        <v>14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12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168</v>
      </c>
      <c r="M200" t="n">
        <v>31</v>
      </c>
      <c r="N200" t="n">
        <v>2064000</v>
      </c>
      <c r="O200" t="n">
        <v>14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12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168</v>
      </c>
      <c r="M201" t="n">
        <v>32</v>
      </c>
      <c r="N201" t="n">
        <v>2064000</v>
      </c>
      <c r="O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2026-05-14T04:03:37Z</dcterms:created>
  <dcterms:modified xmlns:dcterms="http://purl.org/dc/terms/" xmlns:xsi="http://www.w3.org/2001/XMLSchema-instance" xsi:type="dcterms:W3CDTF">2026-05-14T04:03:38Z</dcterms:modified>
</cp:coreProperties>
</file>