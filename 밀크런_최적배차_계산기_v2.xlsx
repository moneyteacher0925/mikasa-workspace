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밀크런 배차 계산기" sheetId="1" state="visible" r:id="rId1"/>
    <sheet xmlns:r="http://schemas.openxmlformats.org/officeDocument/2006/relationships" name="계산데이터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  <color rgb="00FF0000"/>
      <sz val="16"/>
    </font>
    <font>
      <b val="1"/>
      <sz val="11"/>
    </font>
    <font>
      <b val="1"/>
    </font>
    <font>
      <i val="1"/>
      <color rgb="00666666"/>
      <sz val="10"/>
    </font>
    <font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6" pivotButton="0" quotePrefix="0" xfId="0"/>
    <xf numFmtId="3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16" customWidth="1" min="5" max="5"/>
    <col width="16" customWidth="1" min="6" max="6"/>
    <col width="16" customWidth="1" min="7" max="7"/>
    <col width="3" customWidth="1" min="8" max="8"/>
    <col width="20" customWidth="1" min="9" max="9"/>
    <col width="12" customWidth="1" min="10" max="10"/>
    <col width="12" customWidth="1" min="11" max="11"/>
    <col width="16" customWidth="1" min="12" max="12"/>
    <col width="16" customWidth="1" min="13" max="13"/>
  </cols>
  <sheetData>
    <row r="2">
      <c r="B2" s="1" t="inlineStr">
        <is>
          <t>🚛 차량 정보 (트럭 통째 대여, VAT별도)</t>
        </is>
      </c>
      <c r="I2" s="1" t="inlineStr">
        <is>
          <t>📦 총 파렛트 수 입력</t>
        </is>
      </c>
    </row>
    <row r="3">
      <c r="B3" s="2" t="inlineStr">
        <is>
          <t>차량톤수</t>
        </is>
      </c>
      <c r="C3" s="2" t="inlineStr">
        <is>
          <t>최소P</t>
        </is>
      </c>
      <c r="D3" s="2" t="inlineStr">
        <is>
          <t>최대P</t>
        </is>
      </c>
      <c r="E3" s="2" t="inlineStr">
        <is>
          <t>VAT별도</t>
        </is>
      </c>
      <c r="F3" s="2" t="inlineStr">
        <is>
          <t>VAT포함</t>
        </is>
      </c>
      <c r="G3" s="2" t="inlineStr">
        <is>
          <t>꽉채울때
파렛당단가</t>
        </is>
      </c>
      <c r="I3" s="3" t="inlineStr">
        <is>
          <t>총 파렛트 수</t>
        </is>
      </c>
      <c r="J3" s="4" t="n">
        <v>79</v>
      </c>
      <c r="K3" s="5" t="n"/>
    </row>
    <row r="4">
      <c r="B4" s="6" t="inlineStr">
        <is>
          <t>1톤</t>
        </is>
      </c>
      <c r="C4" s="6" t="n">
        <v>1</v>
      </c>
      <c r="D4" s="6" t="n">
        <v>2</v>
      </c>
      <c r="E4" s="7" t="n">
        <v>80500</v>
      </c>
      <c r="F4" s="7">
        <f>E4*1.1</f>
        <v/>
      </c>
      <c r="G4" s="7">
        <f>ROUND(F4/D4,0)</f>
        <v/>
      </c>
    </row>
    <row r="5">
      <c r="B5" s="6" t="inlineStr">
        <is>
          <t>2.5톤</t>
        </is>
      </c>
      <c r="C5" s="6" t="n">
        <v>1</v>
      </c>
      <c r="D5" s="6" t="n">
        <v>3</v>
      </c>
      <c r="E5" s="7" t="n">
        <v>94500</v>
      </c>
      <c r="F5" s="7">
        <f>E5*1.1</f>
        <v/>
      </c>
      <c r="G5" s="7">
        <f>ROUND(F5/D5,0)</f>
        <v/>
      </c>
      <c r="I5" s="1" t="inlineStr">
        <is>
          <t>📊 최적 배차 결과</t>
        </is>
      </c>
    </row>
    <row r="6">
      <c r="B6" s="6" t="inlineStr">
        <is>
          <t>3.5톤</t>
        </is>
      </c>
      <c r="C6" s="6" t="n">
        <v>1</v>
      </c>
      <c r="D6" s="6" t="n">
        <v>4</v>
      </c>
      <c r="E6" s="7" t="n">
        <v>107500</v>
      </c>
      <c r="F6" s="7">
        <f>E6*1.1</f>
        <v/>
      </c>
      <c r="G6" s="7">
        <f>ROUND(F6/D6,0)</f>
        <v/>
      </c>
      <c r="I6" s="2" t="inlineStr">
        <is>
          <t>차량톤수</t>
        </is>
      </c>
      <c r="J6" s="2" t="inlineStr">
        <is>
          <t>대수</t>
        </is>
      </c>
      <c r="K6" s="2" t="inlineStr">
        <is>
          <t>적재P</t>
        </is>
      </c>
      <c r="L6" s="2" t="inlineStr">
        <is>
          <t>VAT별도</t>
        </is>
      </c>
      <c r="M6" s="2" t="inlineStr">
        <is>
          <t>VAT포함</t>
        </is>
      </c>
    </row>
    <row r="7">
      <c r="B7" s="6" t="inlineStr">
        <is>
          <t>5톤</t>
        </is>
      </c>
      <c r="C7" s="6" t="n">
        <v>1</v>
      </c>
      <c r="D7" s="6" t="n">
        <v>12</v>
      </c>
      <c r="E7" s="7" t="n">
        <v>129500</v>
      </c>
      <c r="F7" s="7">
        <f>E7*1.1</f>
        <v/>
      </c>
      <c r="G7" s="7">
        <f>ROUND(F7/D7,0)</f>
        <v/>
      </c>
      <c r="I7" s="8" t="inlineStr">
        <is>
          <t>11톤</t>
        </is>
      </c>
      <c r="J7" s="8">
        <f>IF(J3&gt;0,VLOOKUP(J3,계산데이터!A:I,7,FALSE),0)</f>
        <v/>
      </c>
      <c r="K7" s="9">
        <f>J7*16</f>
        <v/>
      </c>
      <c r="L7" s="9">
        <f>J7*168000</f>
        <v/>
      </c>
      <c r="M7" s="9">
        <f>L7*1.1</f>
        <v/>
      </c>
    </row>
    <row r="8">
      <c r="B8" s="6" t="inlineStr">
        <is>
          <t>8톤</t>
        </is>
      </c>
      <c r="C8" s="6" t="n">
        <v>1</v>
      </c>
      <c r="D8" s="6" t="n">
        <v>14</v>
      </c>
      <c r="E8" s="7" t="n">
        <v>144000</v>
      </c>
      <c r="F8" s="7">
        <f>E8*1.1</f>
        <v/>
      </c>
      <c r="G8" s="7">
        <f>ROUND(F8/D8,0)</f>
        <v/>
      </c>
      <c r="I8" s="8" t="inlineStr">
        <is>
          <t>8톤</t>
        </is>
      </c>
      <c r="J8" s="8">
        <f>IF(J3&gt;0,VLOOKUP(J3,계산데이터!A:I,6,FALSE),0)</f>
        <v/>
      </c>
      <c r="K8" s="9">
        <f>J8*14</f>
        <v/>
      </c>
      <c r="L8" s="9">
        <f>J8*144000</f>
        <v/>
      </c>
      <c r="M8" s="9">
        <f>L8*1.1</f>
        <v/>
      </c>
    </row>
    <row r="9">
      <c r="B9" s="6" t="inlineStr">
        <is>
          <t>11톤</t>
        </is>
      </c>
      <c r="C9" s="6" t="n">
        <v>1</v>
      </c>
      <c r="D9" s="6" t="n">
        <v>16</v>
      </c>
      <c r="E9" s="7" t="n">
        <v>168000</v>
      </c>
      <c r="F9" s="7">
        <f>E9*1.1</f>
        <v/>
      </c>
      <c r="G9" s="7">
        <f>ROUND(F9/D9,0)</f>
        <v/>
      </c>
      <c r="I9" s="8" t="inlineStr">
        <is>
          <t>5톤</t>
        </is>
      </c>
      <c r="J9" s="8">
        <f>IF(J3&gt;0,VLOOKUP(J3,계산데이터!A:I,5,FALSE),0)</f>
        <v/>
      </c>
      <c r="K9" s="9">
        <f>J9*12</f>
        <v/>
      </c>
      <c r="L9" s="9">
        <f>J9*129500</f>
        <v/>
      </c>
      <c r="M9" s="9">
        <f>L9*1.1</f>
        <v/>
      </c>
    </row>
    <row r="10">
      <c r="I10" s="8" t="inlineStr">
        <is>
          <t>3.5톤</t>
        </is>
      </c>
      <c r="J10" s="8">
        <f>IF(J3&gt;0,VLOOKUP(J3,계산데이터!A:I,4,FALSE),0)</f>
        <v/>
      </c>
      <c r="K10" s="9">
        <f>J10*4</f>
        <v/>
      </c>
      <c r="L10" s="9">
        <f>J10*107500</f>
        <v/>
      </c>
      <c r="M10" s="9">
        <f>L10*1.1</f>
        <v/>
      </c>
    </row>
    <row r="11">
      <c r="I11" s="8" t="inlineStr">
        <is>
          <t>2.5톤</t>
        </is>
      </c>
      <c r="J11" s="8">
        <f>IF(J3&gt;0,VLOOKUP(J3,계산데이터!A:I,3,FALSE),0)</f>
        <v/>
      </c>
      <c r="K11" s="9">
        <f>J11*3</f>
        <v/>
      </c>
      <c r="L11" s="9">
        <f>J11*94500</f>
        <v/>
      </c>
      <c r="M11" s="9">
        <f>L11*1.1</f>
        <v/>
      </c>
    </row>
    <row r="12">
      <c r="B12" s="10" t="inlineStr">
        <is>
          <t>💡 사용법: J3 셀(노란칸)에 총 파렛트 수만 입력하면 자동 계산!</t>
        </is>
      </c>
      <c r="I12" s="8" t="inlineStr">
        <is>
          <t>1톤</t>
        </is>
      </c>
      <c r="J12" s="8">
        <f>IF(J3&gt;0,VLOOKUP(J3,계산데이터!A:I,2,FALSE),0)</f>
        <v/>
      </c>
      <c r="K12" s="9">
        <f>J12*2</f>
        <v/>
      </c>
      <c r="L12" s="9">
        <f>J12*80500</f>
        <v/>
      </c>
      <c r="M12" s="9">
        <f>L12*1.1</f>
        <v/>
      </c>
    </row>
    <row r="13">
      <c r="B13" s="11" t="inlineStr">
        <is>
          <t>※ 모든 차량 최소 1P부터 가능 (트럭 통째 대여)
※ 비용이 가장 적게 드는 조합을 자동으로 찾아줍니다</t>
        </is>
      </c>
      <c r="I13" s="12" t="inlineStr">
        <is>
          <t>합계</t>
        </is>
      </c>
      <c r="J13" s="13">
        <f>SUM(J7:J12)</f>
        <v/>
      </c>
      <c r="K13" s="14">
        <f>SUM(K7:K12)</f>
        <v/>
      </c>
      <c r="L13" s="14">
        <f>SUM(L7:L12)</f>
        <v/>
      </c>
      <c r="M13" s="14">
        <f>SUM(M7:M12)</f>
        <v/>
      </c>
    </row>
    <row r="14"/>
    <row r="15">
      <c r="I15" s="15" t="inlineStr">
        <is>
          <t>파렛당 평균 (VAT별도)</t>
        </is>
      </c>
      <c r="J15" s="16" t="n"/>
      <c r="K15" s="5" t="n"/>
      <c r="L15" s="17">
        <f>IF(J3&gt;0,ROUND(L13/J3,0),0)</f>
        <v/>
      </c>
    </row>
    <row r="16">
      <c r="I16" s="15" t="inlineStr">
        <is>
          <t>파렛당 평균 (VAT포함)</t>
        </is>
      </c>
      <c r="J16" s="16" t="n"/>
      <c r="K16" s="5" t="n"/>
      <c r="M16" s="17">
        <f>IF(J3&gt;0,ROUND(M13/J3,0),0)</f>
        <v/>
      </c>
    </row>
  </sheetData>
  <mergeCells count="8">
    <mergeCell ref="B2:G2"/>
    <mergeCell ref="J3:K3"/>
    <mergeCell ref="I16:K16"/>
    <mergeCell ref="I2:K2"/>
    <mergeCell ref="B12:G12"/>
    <mergeCell ref="I5:M5"/>
    <mergeCell ref="B13:G14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파렛트수</t>
        </is>
      </c>
      <c r="B1" t="inlineStr">
        <is>
          <t>1톤</t>
        </is>
      </c>
      <c r="C1" t="inlineStr">
        <is>
          <t>2.5톤</t>
        </is>
      </c>
      <c r="D1" t="inlineStr">
        <is>
          <t>3.5톤</t>
        </is>
      </c>
      <c r="E1" t="inlineStr">
        <is>
          <t>5톤</t>
        </is>
      </c>
      <c r="F1" t="inlineStr">
        <is>
          <t>8톤</t>
        </is>
      </c>
      <c r="G1" t="inlineStr">
        <is>
          <t>11톤</t>
        </is>
      </c>
      <c r="H1" t="inlineStr">
        <is>
          <t>총비용(VAT별도)</t>
        </is>
      </c>
      <c r="I1" t="inlineStr">
        <is>
          <t>총대수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80500</v>
      </c>
      <c r="I2" t="n">
        <v>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80500</v>
      </c>
      <c r="I3" t="n">
        <v>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94500</v>
      </c>
      <c r="I4" t="n">
        <v>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107500</v>
      </c>
      <c r="I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129500</v>
      </c>
      <c r="I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129500</v>
      </c>
      <c r="I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129500</v>
      </c>
      <c r="I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129500</v>
      </c>
      <c r="I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129500</v>
      </c>
      <c r="I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129500</v>
      </c>
      <c r="I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129500</v>
      </c>
      <c r="I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129500</v>
      </c>
      <c r="I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144000</v>
      </c>
      <c r="I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144000</v>
      </c>
      <c r="I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168000</v>
      </c>
      <c r="I16" t="n">
        <v>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168000</v>
      </c>
      <c r="I17" t="n">
        <v>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238500</v>
      </c>
      <c r="I18" t="n">
        <v>2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248500</v>
      </c>
      <c r="I19" t="n">
        <v>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259000</v>
      </c>
      <c r="I20" t="n">
        <v>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259000</v>
      </c>
      <c r="I21" t="n">
        <v>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259000</v>
      </c>
      <c r="I22" t="n">
        <v>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259000</v>
      </c>
      <c r="I23" t="n">
        <v>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259000</v>
      </c>
      <c r="I24" t="n">
        <v>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259000</v>
      </c>
      <c r="I25" t="n">
        <v>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273500</v>
      </c>
      <c r="I26" t="n">
        <v>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273500</v>
      </c>
      <c r="I27" t="n">
        <v>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288000</v>
      </c>
      <c r="I28" t="n">
        <v>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288000</v>
      </c>
      <c r="I29" t="n">
        <v>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312000</v>
      </c>
      <c r="I30" t="n">
        <v>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312000</v>
      </c>
      <c r="I31" t="n">
        <v>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336000</v>
      </c>
      <c r="I32" t="n">
        <v>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336000</v>
      </c>
      <c r="I33" t="n">
        <v>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388500</v>
      </c>
      <c r="I34" t="n">
        <v>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388500</v>
      </c>
      <c r="I35" t="n">
        <v>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388500</v>
      </c>
      <c r="I36" t="n">
        <v>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388500</v>
      </c>
      <c r="I37" t="n">
        <v>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403000</v>
      </c>
      <c r="I38" t="n">
        <v>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0</v>
      </c>
      <c r="H39" t="n">
        <v>403000</v>
      </c>
      <c r="I39" t="n">
        <v>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417500</v>
      </c>
      <c r="I40" t="n">
        <v>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417500</v>
      </c>
      <c r="I41" t="n">
        <v>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432000</v>
      </c>
      <c r="I42" t="n">
        <v>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432000</v>
      </c>
      <c r="I43" t="n">
        <v>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1</v>
      </c>
      <c r="H44" t="n">
        <v>456000</v>
      </c>
      <c r="I44" t="n">
        <v>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1</v>
      </c>
      <c r="H45" t="n">
        <v>456000</v>
      </c>
      <c r="I45" t="n">
        <v>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2</v>
      </c>
      <c r="H46" t="n">
        <v>480000</v>
      </c>
      <c r="I46" t="n">
        <v>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2</v>
      </c>
      <c r="H47" t="n">
        <v>480000</v>
      </c>
      <c r="I47" t="n">
        <v>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504000</v>
      </c>
      <c r="I48" t="n">
        <v>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504000</v>
      </c>
      <c r="I49" t="n">
        <v>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3</v>
      </c>
      <c r="F50" t="n">
        <v>1</v>
      </c>
      <c r="G50" t="n">
        <v>0</v>
      </c>
      <c r="H50" t="n">
        <v>532500</v>
      </c>
      <c r="I50" t="n">
        <v>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3</v>
      </c>
      <c r="F51" t="n">
        <v>1</v>
      </c>
      <c r="G51" t="n">
        <v>0</v>
      </c>
      <c r="H51" t="n">
        <v>532500</v>
      </c>
      <c r="I51" t="n">
        <v>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2</v>
      </c>
      <c r="F52" t="n">
        <v>2</v>
      </c>
      <c r="G52" t="n">
        <v>0</v>
      </c>
      <c r="H52" t="n">
        <v>547000</v>
      </c>
      <c r="I52" t="n">
        <v>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2</v>
      </c>
      <c r="F53" t="n">
        <v>2</v>
      </c>
      <c r="G53" t="n">
        <v>0</v>
      </c>
      <c r="H53" t="n">
        <v>547000</v>
      </c>
      <c r="I53" t="n">
        <v>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3</v>
      </c>
      <c r="G54" t="n">
        <v>0</v>
      </c>
      <c r="H54" t="n">
        <v>561500</v>
      </c>
      <c r="I54" t="n">
        <v>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3</v>
      </c>
      <c r="G55" t="n">
        <v>0</v>
      </c>
      <c r="H55" t="n">
        <v>561500</v>
      </c>
      <c r="I55" t="n">
        <v>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4</v>
      </c>
      <c r="G56" t="n">
        <v>0</v>
      </c>
      <c r="H56" t="n">
        <v>576000</v>
      </c>
      <c r="I56" t="n">
        <v>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576000</v>
      </c>
      <c r="I57" t="n">
        <v>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1</v>
      </c>
      <c r="H58" t="n">
        <v>600000</v>
      </c>
      <c r="I58" t="n">
        <v>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3</v>
      </c>
      <c r="G59" t="n">
        <v>1</v>
      </c>
      <c r="H59" t="n">
        <v>600000</v>
      </c>
      <c r="I59" t="n">
        <v>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2</v>
      </c>
      <c r="H60" t="n">
        <v>624000</v>
      </c>
      <c r="I60" t="n">
        <v>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2</v>
      </c>
      <c r="G61" t="n">
        <v>2</v>
      </c>
      <c r="H61" t="n">
        <v>624000</v>
      </c>
      <c r="I61" t="n">
        <v>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3</v>
      </c>
      <c r="H62" t="n">
        <v>648000</v>
      </c>
      <c r="I62" t="n">
        <v>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3</v>
      </c>
      <c r="H63" t="n">
        <v>648000</v>
      </c>
      <c r="I63" t="n">
        <v>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4</v>
      </c>
      <c r="H64" t="n">
        <v>672000</v>
      </c>
      <c r="I64" t="n">
        <v>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4</v>
      </c>
      <c r="H65" t="n">
        <v>672000</v>
      </c>
      <c r="I65" t="n">
        <v>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2</v>
      </c>
      <c r="F66" t="n">
        <v>3</v>
      </c>
      <c r="G66" t="n">
        <v>0</v>
      </c>
      <c r="H66" t="n">
        <v>691000</v>
      </c>
      <c r="I66" t="n">
        <v>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2</v>
      </c>
      <c r="F67" t="n">
        <v>3</v>
      </c>
      <c r="G67" t="n">
        <v>0</v>
      </c>
      <c r="H67" t="n">
        <v>691000</v>
      </c>
      <c r="I67" t="n">
        <v>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4</v>
      </c>
      <c r="G68" t="n">
        <v>0</v>
      </c>
      <c r="H68" t="n">
        <v>705500</v>
      </c>
      <c r="I68" t="n">
        <v>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4</v>
      </c>
      <c r="G69" t="n">
        <v>0</v>
      </c>
      <c r="H69" t="n">
        <v>705500</v>
      </c>
      <c r="I69" t="n">
        <v>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720000</v>
      </c>
      <c r="I70" t="n">
        <v>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5</v>
      </c>
      <c r="G71" t="n">
        <v>0</v>
      </c>
      <c r="H71" t="n">
        <v>720000</v>
      </c>
      <c r="I71" t="n">
        <v>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4</v>
      </c>
      <c r="G72" t="n">
        <v>1</v>
      </c>
      <c r="H72" t="n">
        <v>744000</v>
      </c>
      <c r="I72" t="n">
        <v>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1</v>
      </c>
      <c r="H73" t="n">
        <v>744000</v>
      </c>
      <c r="I73" t="n">
        <v>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3</v>
      </c>
      <c r="G74" t="n">
        <v>2</v>
      </c>
      <c r="H74" t="n">
        <v>768000</v>
      </c>
      <c r="I74" t="n">
        <v>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3</v>
      </c>
      <c r="G75" t="n">
        <v>2</v>
      </c>
      <c r="H75" t="n">
        <v>768000</v>
      </c>
      <c r="I75" t="n">
        <v>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3</v>
      </c>
      <c r="H76" t="n">
        <v>792000</v>
      </c>
      <c r="I76" t="n">
        <v>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3</v>
      </c>
      <c r="H77" t="n">
        <v>792000</v>
      </c>
      <c r="I77" t="n">
        <v>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4</v>
      </c>
      <c r="H78" t="n">
        <v>816000</v>
      </c>
      <c r="I78" t="n">
        <v>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4</v>
      </c>
      <c r="H79" t="n">
        <v>816000</v>
      </c>
      <c r="I79" t="n">
        <v>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2</v>
      </c>
      <c r="F80" t="n">
        <v>4</v>
      </c>
      <c r="G80" t="n">
        <v>0</v>
      </c>
      <c r="H80" t="n">
        <v>835000</v>
      </c>
      <c r="I80" t="n">
        <v>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2</v>
      </c>
      <c r="F81" t="n">
        <v>4</v>
      </c>
      <c r="G81" t="n">
        <v>0</v>
      </c>
      <c r="H81" t="n">
        <v>835000</v>
      </c>
      <c r="I81" t="n">
        <v>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5</v>
      </c>
      <c r="G82" t="n">
        <v>0</v>
      </c>
      <c r="H82" t="n">
        <v>849500</v>
      </c>
      <c r="I82" t="n">
        <v>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5</v>
      </c>
      <c r="G83" t="n">
        <v>0</v>
      </c>
      <c r="H83" t="n">
        <v>849500</v>
      </c>
      <c r="I83" t="n">
        <v>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6</v>
      </c>
      <c r="G84" t="n">
        <v>0</v>
      </c>
      <c r="H84" t="n">
        <v>864000</v>
      </c>
      <c r="I84" t="n">
        <v>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6</v>
      </c>
      <c r="G85" t="n">
        <v>0</v>
      </c>
      <c r="H85" t="n">
        <v>864000</v>
      </c>
      <c r="I85" t="n">
        <v>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5</v>
      </c>
      <c r="G86" t="n">
        <v>1</v>
      </c>
      <c r="H86" t="n">
        <v>888000</v>
      </c>
      <c r="I86" t="n">
        <v>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5</v>
      </c>
      <c r="G87" t="n">
        <v>1</v>
      </c>
      <c r="H87" t="n">
        <v>888000</v>
      </c>
      <c r="I87" t="n">
        <v>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4</v>
      </c>
      <c r="G88" t="n">
        <v>2</v>
      </c>
      <c r="H88" t="n">
        <v>912000</v>
      </c>
      <c r="I88" t="n">
        <v>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4</v>
      </c>
      <c r="G89" t="n">
        <v>2</v>
      </c>
      <c r="H89" t="n">
        <v>912000</v>
      </c>
      <c r="I89" t="n">
        <v>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3</v>
      </c>
      <c r="G90" t="n">
        <v>3</v>
      </c>
      <c r="H90" t="n">
        <v>936000</v>
      </c>
      <c r="I90" t="n">
        <v>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3</v>
      </c>
      <c r="G91" t="n">
        <v>3</v>
      </c>
      <c r="H91" t="n">
        <v>936000</v>
      </c>
      <c r="I91" t="n">
        <v>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4</v>
      </c>
      <c r="H92" t="n">
        <v>960000</v>
      </c>
      <c r="I92" t="n">
        <v>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2</v>
      </c>
      <c r="G93" t="n">
        <v>4</v>
      </c>
      <c r="H93" t="n">
        <v>960000</v>
      </c>
      <c r="I93" t="n">
        <v>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2</v>
      </c>
      <c r="F94" t="n">
        <v>5</v>
      </c>
      <c r="G94" t="n">
        <v>0</v>
      </c>
      <c r="H94" t="n">
        <v>979000</v>
      </c>
      <c r="I94" t="n">
        <v>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2</v>
      </c>
      <c r="F95" t="n">
        <v>5</v>
      </c>
      <c r="G95" t="n">
        <v>0</v>
      </c>
      <c r="H95" t="n">
        <v>979000</v>
      </c>
      <c r="I95" t="n">
        <v>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6</v>
      </c>
      <c r="G96" t="n">
        <v>0</v>
      </c>
      <c r="H96" t="n">
        <v>993500</v>
      </c>
      <c r="I96" t="n">
        <v>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6</v>
      </c>
      <c r="G97" t="n">
        <v>0</v>
      </c>
      <c r="H97" t="n">
        <v>993500</v>
      </c>
      <c r="I97" t="n">
        <v>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7</v>
      </c>
      <c r="G98" t="n">
        <v>0</v>
      </c>
      <c r="H98" t="n">
        <v>1008000</v>
      </c>
      <c r="I98" t="n">
        <v>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7</v>
      </c>
      <c r="G99" t="n">
        <v>0</v>
      </c>
      <c r="H99" t="n">
        <v>1008000</v>
      </c>
      <c r="I99" t="n">
        <v>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6</v>
      </c>
      <c r="G100" t="n">
        <v>1</v>
      </c>
      <c r="H100" t="n">
        <v>1032000</v>
      </c>
      <c r="I100" t="n">
        <v>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6</v>
      </c>
      <c r="G101" t="n">
        <v>1</v>
      </c>
      <c r="H101" t="n">
        <v>1032000</v>
      </c>
      <c r="I101" t="n">
        <v>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5</v>
      </c>
      <c r="G102" t="n">
        <v>2</v>
      </c>
      <c r="H102" t="n">
        <v>1056000</v>
      </c>
      <c r="I102" t="n">
        <v>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5</v>
      </c>
      <c r="G103" t="n">
        <v>2</v>
      </c>
      <c r="H103" t="n">
        <v>1056000</v>
      </c>
      <c r="I103" t="n">
        <v>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4</v>
      </c>
      <c r="G104" t="n">
        <v>3</v>
      </c>
      <c r="H104" t="n">
        <v>1080000</v>
      </c>
      <c r="I104" t="n">
        <v>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4</v>
      </c>
      <c r="G105" t="n">
        <v>3</v>
      </c>
      <c r="H105" t="n">
        <v>1080000</v>
      </c>
      <c r="I105" t="n">
        <v>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3</v>
      </c>
      <c r="G106" t="n">
        <v>4</v>
      </c>
      <c r="H106" t="n">
        <v>1104000</v>
      </c>
      <c r="I106" t="n">
        <v>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3</v>
      </c>
      <c r="G107" t="n">
        <v>4</v>
      </c>
      <c r="H107" t="n">
        <v>1104000</v>
      </c>
      <c r="I107" t="n">
        <v>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2</v>
      </c>
      <c r="F108" t="n">
        <v>6</v>
      </c>
      <c r="G108" t="n">
        <v>0</v>
      </c>
      <c r="H108" t="n">
        <v>1123000</v>
      </c>
      <c r="I108" t="n">
        <v>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2</v>
      </c>
      <c r="F109" t="n">
        <v>6</v>
      </c>
      <c r="G109" t="n">
        <v>0</v>
      </c>
      <c r="H109" t="n">
        <v>1123000</v>
      </c>
      <c r="I109" t="n">
        <v>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7</v>
      </c>
      <c r="G110" t="n">
        <v>0</v>
      </c>
      <c r="H110" t="n">
        <v>1137500</v>
      </c>
      <c r="I110" t="n">
        <v>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7</v>
      </c>
      <c r="G111" t="n">
        <v>0</v>
      </c>
      <c r="H111" t="n">
        <v>1137500</v>
      </c>
      <c r="I111" t="n">
        <v>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8</v>
      </c>
      <c r="G112" t="n">
        <v>0</v>
      </c>
      <c r="H112" t="n">
        <v>1152000</v>
      </c>
      <c r="I112" t="n">
        <v>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8</v>
      </c>
      <c r="G113" t="n">
        <v>0</v>
      </c>
      <c r="H113" t="n">
        <v>1152000</v>
      </c>
      <c r="I113" t="n">
        <v>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7</v>
      </c>
      <c r="G114" t="n">
        <v>1</v>
      </c>
      <c r="H114" t="n">
        <v>1176000</v>
      </c>
      <c r="I114" t="n">
        <v>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7</v>
      </c>
      <c r="G115" t="n">
        <v>1</v>
      </c>
      <c r="H115" t="n">
        <v>1176000</v>
      </c>
      <c r="I115" t="n">
        <v>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6</v>
      </c>
      <c r="G116" t="n">
        <v>2</v>
      </c>
      <c r="H116" t="n">
        <v>1200000</v>
      </c>
      <c r="I116" t="n">
        <v>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6</v>
      </c>
      <c r="G117" t="n">
        <v>2</v>
      </c>
      <c r="H117" t="n">
        <v>1200000</v>
      </c>
      <c r="I117" t="n">
        <v>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5</v>
      </c>
      <c r="G118" t="n">
        <v>3</v>
      </c>
      <c r="H118" t="n">
        <v>1224000</v>
      </c>
      <c r="I118" t="n">
        <v>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5</v>
      </c>
      <c r="G119" t="n">
        <v>3</v>
      </c>
      <c r="H119" t="n">
        <v>1224000</v>
      </c>
      <c r="I119" t="n">
        <v>8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4</v>
      </c>
      <c r="G120" t="n">
        <v>4</v>
      </c>
      <c r="H120" t="n">
        <v>1248000</v>
      </c>
      <c r="I120" t="n">
        <v>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4</v>
      </c>
      <c r="G121" t="n">
        <v>4</v>
      </c>
      <c r="H121" t="n">
        <v>1248000</v>
      </c>
      <c r="I121" t="n">
        <v>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2</v>
      </c>
      <c r="F122" t="n">
        <v>7</v>
      </c>
      <c r="G122" t="n">
        <v>0</v>
      </c>
      <c r="H122" t="n">
        <v>1267000</v>
      </c>
      <c r="I122" t="n">
        <v>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2</v>
      </c>
      <c r="F123" t="n">
        <v>7</v>
      </c>
      <c r="G123" t="n">
        <v>0</v>
      </c>
      <c r="H123" t="n">
        <v>1267000</v>
      </c>
      <c r="I123" t="n">
        <v>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8</v>
      </c>
      <c r="G124" t="n">
        <v>0</v>
      </c>
      <c r="H124" t="n">
        <v>1281500</v>
      </c>
      <c r="I124" t="n">
        <v>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8</v>
      </c>
      <c r="G125" t="n">
        <v>0</v>
      </c>
      <c r="H125" t="n">
        <v>1281500</v>
      </c>
      <c r="I125" t="n">
        <v>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9</v>
      </c>
      <c r="G126" t="n">
        <v>0</v>
      </c>
      <c r="H126" t="n">
        <v>1296000</v>
      </c>
      <c r="I126" t="n">
        <v>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9</v>
      </c>
      <c r="G127" t="n">
        <v>0</v>
      </c>
      <c r="H127" t="n">
        <v>1296000</v>
      </c>
      <c r="I127" t="n">
        <v>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8</v>
      </c>
      <c r="G128" t="n">
        <v>1</v>
      </c>
      <c r="H128" t="n">
        <v>1320000</v>
      </c>
      <c r="I128" t="n">
        <v>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8</v>
      </c>
      <c r="G129" t="n">
        <v>1</v>
      </c>
      <c r="H129" t="n">
        <v>1320000</v>
      </c>
      <c r="I129" t="n">
        <v>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7</v>
      </c>
      <c r="G130" t="n">
        <v>2</v>
      </c>
      <c r="H130" t="n">
        <v>1344000</v>
      </c>
      <c r="I130" t="n">
        <v>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7</v>
      </c>
      <c r="G131" t="n">
        <v>2</v>
      </c>
      <c r="H131" t="n">
        <v>1344000</v>
      </c>
      <c r="I131" t="n">
        <v>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6</v>
      </c>
      <c r="G132" t="n">
        <v>3</v>
      </c>
      <c r="H132" t="n">
        <v>1368000</v>
      </c>
      <c r="I132" t="n">
        <v>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6</v>
      </c>
      <c r="G133" t="n">
        <v>3</v>
      </c>
      <c r="H133" t="n">
        <v>1368000</v>
      </c>
      <c r="I133" t="n">
        <v>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5</v>
      </c>
      <c r="G134" t="n">
        <v>4</v>
      </c>
      <c r="H134" t="n">
        <v>1392000</v>
      </c>
      <c r="I134" t="n">
        <v>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5</v>
      </c>
      <c r="G135" t="n">
        <v>4</v>
      </c>
      <c r="H135" t="n">
        <v>1392000</v>
      </c>
      <c r="I135" t="n">
        <v>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2</v>
      </c>
      <c r="F136" t="n">
        <v>8</v>
      </c>
      <c r="G136" t="n">
        <v>0</v>
      </c>
      <c r="H136" t="n">
        <v>1411000</v>
      </c>
      <c r="I136" t="n">
        <v>10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2</v>
      </c>
      <c r="F137" t="n">
        <v>8</v>
      </c>
      <c r="G137" t="n">
        <v>0</v>
      </c>
      <c r="H137" t="n">
        <v>1411000</v>
      </c>
      <c r="I137" t="n">
        <v>10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9</v>
      </c>
      <c r="G138" t="n">
        <v>0</v>
      </c>
      <c r="H138" t="n">
        <v>1425500</v>
      </c>
      <c r="I138" t="n">
        <v>10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9</v>
      </c>
      <c r="G139" t="n">
        <v>0</v>
      </c>
      <c r="H139" t="n">
        <v>1425500</v>
      </c>
      <c r="I139" t="n">
        <v>10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0</v>
      </c>
      <c r="H140" t="n">
        <v>1440000</v>
      </c>
      <c r="I140" t="n">
        <v>10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10</v>
      </c>
      <c r="G141" t="n">
        <v>0</v>
      </c>
      <c r="H141" t="n">
        <v>1440000</v>
      </c>
      <c r="I141" t="n">
        <v>10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9</v>
      </c>
      <c r="G142" t="n">
        <v>1</v>
      </c>
      <c r="H142" t="n">
        <v>1464000</v>
      </c>
      <c r="I142" t="n">
        <v>10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9</v>
      </c>
      <c r="G143" t="n">
        <v>1</v>
      </c>
      <c r="H143" t="n">
        <v>1464000</v>
      </c>
      <c r="I143" t="n">
        <v>10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8</v>
      </c>
      <c r="G144" t="n">
        <v>2</v>
      </c>
      <c r="H144" t="n">
        <v>1488000</v>
      </c>
      <c r="I144" t="n">
        <v>10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8</v>
      </c>
      <c r="G145" t="n">
        <v>2</v>
      </c>
      <c r="H145" t="n">
        <v>1488000</v>
      </c>
      <c r="I145" t="n">
        <v>10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7</v>
      </c>
      <c r="G146" t="n">
        <v>3</v>
      </c>
      <c r="H146" t="n">
        <v>1512000</v>
      </c>
      <c r="I146" t="n">
        <v>10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7</v>
      </c>
      <c r="G147" t="n">
        <v>3</v>
      </c>
      <c r="H147" t="n">
        <v>1512000</v>
      </c>
      <c r="I147" t="n">
        <v>10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6</v>
      </c>
      <c r="G148" t="n">
        <v>4</v>
      </c>
      <c r="H148" t="n">
        <v>1536000</v>
      </c>
      <c r="I148" t="n">
        <v>10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6</v>
      </c>
      <c r="G149" t="n">
        <v>4</v>
      </c>
      <c r="H149" t="n">
        <v>1536000</v>
      </c>
      <c r="I149" t="n">
        <v>10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2</v>
      </c>
      <c r="F150" t="n">
        <v>9</v>
      </c>
      <c r="G150" t="n">
        <v>0</v>
      </c>
      <c r="H150" t="n">
        <v>1555000</v>
      </c>
      <c r="I150" t="n">
        <v>11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2</v>
      </c>
      <c r="F151" t="n">
        <v>9</v>
      </c>
      <c r="G151" t="n">
        <v>0</v>
      </c>
      <c r="H151" t="n">
        <v>1555000</v>
      </c>
      <c r="I151" t="n">
        <v>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10</v>
      </c>
      <c r="G152" t="n">
        <v>0</v>
      </c>
      <c r="H152" t="n">
        <v>1569500</v>
      </c>
      <c r="I152" t="n">
        <v>11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10</v>
      </c>
      <c r="G153" t="n">
        <v>0</v>
      </c>
      <c r="H153" t="n">
        <v>1569500</v>
      </c>
      <c r="I153" t="n">
        <v>11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11</v>
      </c>
      <c r="G154" t="n">
        <v>0</v>
      </c>
      <c r="H154" t="n">
        <v>1584000</v>
      </c>
      <c r="I154" t="n">
        <v>11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11</v>
      </c>
      <c r="G155" t="n">
        <v>0</v>
      </c>
      <c r="H155" t="n">
        <v>1584000</v>
      </c>
      <c r="I155" t="n">
        <v>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10</v>
      </c>
      <c r="G156" t="n">
        <v>1</v>
      </c>
      <c r="H156" t="n">
        <v>1608000</v>
      </c>
      <c r="I156" t="n">
        <v>11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10</v>
      </c>
      <c r="G157" t="n">
        <v>1</v>
      </c>
      <c r="H157" t="n">
        <v>1608000</v>
      </c>
      <c r="I157" t="n">
        <v>11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9</v>
      </c>
      <c r="G158" t="n">
        <v>2</v>
      </c>
      <c r="H158" t="n">
        <v>1632000</v>
      </c>
      <c r="I158" t="n">
        <v>11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9</v>
      </c>
      <c r="G159" t="n">
        <v>2</v>
      </c>
      <c r="H159" t="n">
        <v>1632000</v>
      </c>
      <c r="I159" t="n">
        <v>11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8</v>
      </c>
      <c r="G160" t="n">
        <v>3</v>
      </c>
      <c r="H160" t="n">
        <v>1656000</v>
      </c>
      <c r="I160" t="n">
        <v>11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8</v>
      </c>
      <c r="G161" t="n">
        <v>3</v>
      </c>
      <c r="H161" t="n">
        <v>1656000</v>
      </c>
      <c r="I161" t="n">
        <v>11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7</v>
      </c>
      <c r="G162" t="n">
        <v>4</v>
      </c>
      <c r="H162" t="n">
        <v>1680000</v>
      </c>
      <c r="I162" t="n">
        <v>11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7</v>
      </c>
      <c r="G163" t="n">
        <v>4</v>
      </c>
      <c r="H163" t="n">
        <v>1680000</v>
      </c>
      <c r="I163" t="n">
        <v>11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2</v>
      </c>
      <c r="F164" t="n">
        <v>10</v>
      </c>
      <c r="G164" t="n">
        <v>0</v>
      </c>
      <c r="H164" t="n">
        <v>1699000</v>
      </c>
      <c r="I164" t="n">
        <v>12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2</v>
      </c>
      <c r="F165" t="n">
        <v>10</v>
      </c>
      <c r="G165" t="n">
        <v>0</v>
      </c>
      <c r="H165" t="n">
        <v>1699000</v>
      </c>
      <c r="I165" t="n">
        <v>12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11</v>
      </c>
      <c r="G166" t="n">
        <v>0</v>
      </c>
      <c r="H166" t="n">
        <v>1713500</v>
      </c>
      <c r="I166" t="n">
        <v>12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11</v>
      </c>
      <c r="G167" t="n">
        <v>0</v>
      </c>
      <c r="H167" t="n">
        <v>1713500</v>
      </c>
      <c r="I167" t="n">
        <v>12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12</v>
      </c>
      <c r="G168" t="n">
        <v>0</v>
      </c>
      <c r="H168" t="n">
        <v>1728000</v>
      </c>
      <c r="I168" t="n">
        <v>12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12</v>
      </c>
      <c r="G169" t="n">
        <v>0</v>
      </c>
      <c r="H169" t="n">
        <v>1728000</v>
      </c>
      <c r="I169" t="n">
        <v>12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11</v>
      </c>
      <c r="G170" t="n">
        <v>1</v>
      </c>
      <c r="H170" t="n">
        <v>1752000</v>
      </c>
      <c r="I170" t="n">
        <v>12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11</v>
      </c>
      <c r="G171" t="n">
        <v>1</v>
      </c>
      <c r="H171" t="n">
        <v>1752000</v>
      </c>
      <c r="I171" t="n">
        <v>12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10</v>
      </c>
      <c r="G172" t="n">
        <v>2</v>
      </c>
      <c r="H172" t="n">
        <v>1776000</v>
      </c>
      <c r="I172" t="n">
        <v>12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10</v>
      </c>
      <c r="G173" t="n">
        <v>2</v>
      </c>
      <c r="H173" t="n">
        <v>1776000</v>
      </c>
      <c r="I173" t="n">
        <v>12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9</v>
      </c>
      <c r="G174" t="n">
        <v>3</v>
      </c>
      <c r="H174" t="n">
        <v>1800000</v>
      </c>
      <c r="I174" t="n">
        <v>12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9</v>
      </c>
      <c r="G175" t="n">
        <v>3</v>
      </c>
      <c r="H175" t="n">
        <v>1800000</v>
      </c>
      <c r="I175" t="n">
        <v>12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8</v>
      </c>
      <c r="G176" t="n">
        <v>4</v>
      </c>
      <c r="H176" t="n">
        <v>1824000</v>
      </c>
      <c r="I176" t="n">
        <v>12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8</v>
      </c>
      <c r="G177" t="n">
        <v>4</v>
      </c>
      <c r="H177" t="n">
        <v>1824000</v>
      </c>
      <c r="I177" t="n">
        <v>12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2</v>
      </c>
      <c r="F178" t="n">
        <v>11</v>
      </c>
      <c r="G178" t="n">
        <v>0</v>
      </c>
      <c r="H178" t="n">
        <v>1843000</v>
      </c>
      <c r="I178" t="n">
        <v>13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2</v>
      </c>
      <c r="F179" t="n">
        <v>11</v>
      </c>
      <c r="G179" t="n">
        <v>0</v>
      </c>
      <c r="H179" t="n">
        <v>1843000</v>
      </c>
      <c r="I179" t="n">
        <v>13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12</v>
      </c>
      <c r="G180" t="n">
        <v>0</v>
      </c>
      <c r="H180" t="n">
        <v>1857500</v>
      </c>
      <c r="I180" t="n">
        <v>13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12</v>
      </c>
      <c r="G181" t="n">
        <v>0</v>
      </c>
      <c r="H181" t="n">
        <v>1857500</v>
      </c>
      <c r="I181" t="n">
        <v>13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13</v>
      </c>
      <c r="G182" t="n">
        <v>0</v>
      </c>
      <c r="H182" t="n">
        <v>1872000</v>
      </c>
      <c r="I182" t="n">
        <v>13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13</v>
      </c>
      <c r="G183" t="n">
        <v>0</v>
      </c>
      <c r="H183" t="n">
        <v>1872000</v>
      </c>
      <c r="I183" t="n">
        <v>13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12</v>
      </c>
      <c r="G184" t="n">
        <v>1</v>
      </c>
      <c r="H184" t="n">
        <v>1896000</v>
      </c>
      <c r="I184" t="n">
        <v>13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12</v>
      </c>
      <c r="G185" t="n">
        <v>1</v>
      </c>
      <c r="H185" t="n">
        <v>1896000</v>
      </c>
      <c r="I185" t="n">
        <v>13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11</v>
      </c>
      <c r="G186" t="n">
        <v>2</v>
      </c>
      <c r="H186" t="n">
        <v>1920000</v>
      </c>
      <c r="I186" t="n">
        <v>13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11</v>
      </c>
      <c r="G187" t="n">
        <v>2</v>
      </c>
      <c r="H187" t="n">
        <v>1920000</v>
      </c>
      <c r="I187" t="n">
        <v>13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10</v>
      </c>
      <c r="G188" t="n">
        <v>3</v>
      </c>
      <c r="H188" t="n">
        <v>1944000</v>
      </c>
      <c r="I188" t="n">
        <v>13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10</v>
      </c>
      <c r="G189" t="n">
        <v>3</v>
      </c>
      <c r="H189" t="n">
        <v>1944000</v>
      </c>
      <c r="I189" t="n">
        <v>13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9</v>
      </c>
      <c r="G190" t="n">
        <v>4</v>
      </c>
      <c r="H190" t="n">
        <v>1968000</v>
      </c>
      <c r="I190" t="n">
        <v>13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9</v>
      </c>
      <c r="G191" t="n">
        <v>4</v>
      </c>
      <c r="H191" t="n">
        <v>1968000</v>
      </c>
      <c r="I191" t="n">
        <v>13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2</v>
      </c>
      <c r="F192" t="n">
        <v>12</v>
      </c>
      <c r="G192" t="n">
        <v>0</v>
      </c>
      <c r="H192" t="n">
        <v>1987000</v>
      </c>
      <c r="I192" t="n">
        <v>14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2</v>
      </c>
      <c r="F193" t="n">
        <v>12</v>
      </c>
      <c r="G193" t="n">
        <v>0</v>
      </c>
      <c r="H193" t="n">
        <v>1987000</v>
      </c>
      <c r="I193" t="n">
        <v>14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13</v>
      </c>
      <c r="G194" t="n">
        <v>0</v>
      </c>
      <c r="H194" t="n">
        <v>2001500</v>
      </c>
      <c r="I194" t="n">
        <v>14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13</v>
      </c>
      <c r="G195" t="n">
        <v>0</v>
      </c>
      <c r="H195" t="n">
        <v>2001500</v>
      </c>
      <c r="I195" t="n">
        <v>14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14</v>
      </c>
      <c r="G196" t="n">
        <v>0</v>
      </c>
      <c r="H196" t="n">
        <v>2016000</v>
      </c>
      <c r="I196" t="n">
        <v>14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14</v>
      </c>
      <c r="G197" t="n">
        <v>0</v>
      </c>
      <c r="H197" t="n">
        <v>2016000</v>
      </c>
      <c r="I197" t="n">
        <v>14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13</v>
      </c>
      <c r="G198" t="n">
        <v>1</v>
      </c>
      <c r="H198" t="n">
        <v>2040000</v>
      </c>
      <c r="I198" t="n">
        <v>14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13</v>
      </c>
      <c r="G199" t="n">
        <v>1</v>
      </c>
      <c r="H199" t="n">
        <v>2040000</v>
      </c>
      <c r="I199" t="n">
        <v>14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12</v>
      </c>
      <c r="G200" t="n">
        <v>2</v>
      </c>
      <c r="H200" t="n">
        <v>2064000</v>
      </c>
      <c r="I200" t="n">
        <v>14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12</v>
      </c>
      <c r="G201" t="n">
        <v>2</v>
      </c>
      <c r="H201" t="n">
        <v>2064000</v>
      </c>
      <c r="I2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2026-05-14T03:51:45Z</dcterms:created>
  <dcterms:modified xmlns:dcterms="http://purl.org/dc/terms/" xmlns:xsi="http://www.w3.org/2001/XMLSchema-instance" xsi:type="dcterms:W3CDTF">2026-05-14T03:51:45Z</dcterms:modified>
</cp:coreProperties>
</file>